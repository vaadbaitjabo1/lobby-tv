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lon\Vaad\DashBoard\New\vaad-dashboard-clean\"/>
    </mc:Choice>
  </mc:AlternateContent>
  <xr:revisionPtr revIDLastSave="0" documentId="13_ncr:1_{D30BCB62-C702-4891-9475-05E5021EB7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נתוני_תשלומים" sheetId="1" r:id="rId1"/>
    <sheet name="הגדרות" sheetId="2" r:id="rId2"/>
    <sheet name="חישובים" sheetId="3" r:id="rId3"/>
    <sheet name="הוראות_שימוש" sheetId="4" r:id="rId4"/>
    <sheet name="הוצאות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0" i="5" l="1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B37" i="3" s="1"/>
  <c r="H10" i="5"/>
  <c r="B36" i="3" s="1"/>
  <c r="G10" i="5"/>
  <c r="B35" i="3" s="1"/>
  <c r="F10" i="5"/>
  <c r="B34" i="3" s="1"/>
  <c r="E10" i="5"/>
  <c r="D10" i="5"/>
  <c r="C10" i="5"/>
  <c r="B10" i="5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3" i="3"/>
  <c r="B32" i="3"/>
  <c r="B31" i="3"/>
  <c r="B30" i="3"/>
  <c r="B26" i="3"/>
  <c r="H25" i="3"/>
  <c r="F25" i="3"/>
  <c r="D25" i="3"/>
  <c r="C25" i="3"/>
  <c r="B25" i="3"/>
  <c r="H24" i="3"/>
  <c r="F24" i="3"/>
  <c r="G24" i="3" s="1"/>
  <c r="D24" i="3"/>
  <c r="C24" i="3"/>
  <c r="E24" i="3" s="1"/>
  <c r="B24" i="3"/>
  <c r="H23" i="3"/>
  <c r="F23" i="3"/>
  <c r="D23" i="3"/>
  <c r="C23" i="3"/>
  <c r="E23" i="3" s="1"/>
  <c r="B23" i="3"/>
  <c r="G23" i="3" s="1"/>
  <c r="H22" i="3"/>
  <c r="F22" i="3"/>
  <c r="D22" i="3"/>
  <c r="C22" i="3"/>
  <c r="E22" i="3" s="1"/>
  <c r="B22" i="3"/>
  <c r="H21" i="3"/>
  <c r="E21" i="3" s="1"/>
  <c r="F21" i="3"/>
  <c r="G21" i="3" s="1"/>
  <c r="D21" i="3"/>
  <c r="C21" i="3"/>
  <c r="B21" i="3"/>
  <c r="H20" i="3"/>
  <c r="F20" i="3"/>
  <c r="D20" i="3"/>
  <c r="C20" i="3"/>
  <c r="E20" i="3" s="1"/>
  <c r="B20" i="3"/>
  <c r="G20" i="3" s="1"/>
  <c r="H19" i="3"/>
  <c r="F19" i="3"/>
  <c r="D19" i="3"/>
  <c r="C19" i="3"/>
  <c r="E19" i="3" s="1"/>
  <c r="B19" i="3"/>
  <c r="G19" i="3" s="1"/>
  <c r="H18" i="3"/>
  <c r="F18" i="3"/>
  <c r="G18" i="3" s="1"/>
  <c r="D18" i="3"/>
  <c r="C18" i="3"/>
  <c r="B18" i="3"/>
  <c r="H17" i="3"/>
  <c r="F17" i="3"/>
  <c r="D17" i="3"/>
  <c r="C17" i="3"/>
  <c r="B17" i="3"/>
  <c r="G17" i="3" s="1"/>
  <c r="H16" i="3"/>
  <c r="F16" i="3"/>
  <c r="D16" i="3"/>
  <c r="C16" i="3"/>
  <c r="E16" i="3" s="1"/>
  <c r="B16" i="3"/>
  <c r="H15" i="3"/>
  <c r="F15" i="3"/>
  <c r="D15" i="3"/>
  <c r="C15" i="3"/>
  <c r="B15" i="3"/>
  <c r="G15" i="3" s="1"/>
  <c r="H14" i="3"/>
  <c r="F14" i="3"/>
  <c r="D14" i="3"/>
  <c r="C14" i="3"/>
  <c r="E14" i="3" s="1"/>
  <c r="B14" i="3"/>
  <c r="G14" i="3" s="1"/>
  <c r="H13" i="3"/>
  <c r="F13" i="3"/>
  <c r="D13" i="3"/>
  <c r="C13" i="3"/>
  <c r="B13" i="3"/>
  <c r="G13" i="3" s="1"/>
  <c r="H12" i="3"/>
  <c r="F12" i="3"/>
  <c r="D12" i="3"/>
  <c r="C12" i="3"/>
  <c r="E12" i="3" s="1"/>
  <c r="B12" i="3"/>
  <c r="H11" i="3"/>
  <c r="F11" i="3"/>
  <c r="D11" i="3"/>
  <c r="C11" i="3"/>
  <c r="E11" i="3" s="1"/>
  <c r="B11" i="3"/>
  <c r="G11" i="3" s="1"/>
  <c r="H10" i="3"/>
  <c r="F10" i="3"/>
  <c r="G10" i="3" s="1"/>
  <c r="D10" i="3"/>
  <c r="C10" i="3"/>
  <c r="E10" i="3" s="1"/>
  <c r="B10" i="3"/>
  <c r="H9" i="3"/>
  <c r="F9" i="3"/>
  <c r="D9" i="3"/>
  <c r="C9" i="3"/>
  <c r="B9" i="3"/>
  <c r="G9" i="3" s="1"/>
  <c r="H8" i="3"/>
  <c r="F8" i="3"/>
  <c r="D8" i="3"/>
  <c r="C8" i="3"/>
  <c r="E8" i="3" s="1"/>
  <c r="B8" i="3"/>
  <c r="H7" i="3"/>
  <c r="F7" i="3"/>
  <c r="G7" i="3" s="1"/>
  <c r="D7" i="3"/>
  <c r="E7" i="3" s="1"/>
  <c r="C7" i="3"/>
  <c r="B7" i="3"/>
  <c r="H6" i="3"/>
  <c r="F6" i="3"/>
  <c r="D6" i="3"/>
  <c r="C6" i="3"/>
  <c r="E6" i="3" s="1"/>
  <c r="B6" i="3"/>
  <c r="G6" i="3" s="1"/>
  <c r="H5" i="3"/>
  <c r="F5" i="3"/>
  <c r="D5" i="3"/>
  <c r="C5" i="3"/>
  <c r="B5" i="3"/>
  <c r="G5" i="3" s="1"/>
  <c r="H4" i="3"/>
  <c r="F4" i="3"/>
  <c r="G4" i="3" s="1"/>
  <c r="D4" i="3"/>
  <c r="C4" i="3"/>
  <c r="E4" i="3" s="1"/>
  <c r="B4" i="3"/>
  <c r="H3" i="3"/>
  <c r="F3" i="3"/>
  <c r="D3" i="3"/>
  <c r="C3" i="3"/>
  <c r="E3" i="3" s="1"/>
  <c r="B3" i="3"/>
  <c r="G3" i="3" s="1"/>
  <c r="H2" i="3"/>
  <c r="F2" i="3"/>
  <c r="D2" i="3"/>
  <c r="C2" i="3"/>
  <c r="E2" i="3" s="1"/>
  <c r="B2" i="3"/>
  <c r="G2" i="3" s="1"/>
  <c r="G8" i="3" l="1"/>
  <c r="G12" i="3"/>
  <c r="G16" i="3"/>
  <c r="E15" i="3"/>
  <c r="E18" i="3"/>
  <c r="E5" i="3"/>
  <c r="E9" i="3"/>
  <c r="E13" i="3"/>
  <c r="E17" i="3"/>
  <c r="E25" i="3"/>
  <c r="G22" i="3"/>
  <c r="G25" i="3"/>
</calcChain>
</file>

<file path=xl/sharedStrings.xml><?xml version="1.0" encoding="utf-8"?>
<sst xmlns="http://schemas.openxmlformats.org/spreadsheetml/2006/main" count="695" uniqueCount="76">
  <si>
    <t>מספר דירה</t>
  </si>
  <si>
    <t>גודל דירה</t>
  </si>
  <si>
    <t>סכום חודשי (₪)</t>
  </si>
  <si>
    <t>פעיל</t>
  </si>
  <si>
    <t>חוב עד 12/25 (₪)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</si>
  <si>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</si>
  <si>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</si>
  <si>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</si>
  <si>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</si>
  <si>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</si>
  <si>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</si>
  <si>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</si>
  <si>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</si>
  <si>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</si>
  <si>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</si>
  <si>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</si>
  <si>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</si>
  <si>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ינואר 26</t>
  </si>
  <si>
    <t>פברואר 26</t>
  </si>
  <si>
    <t>מרץ 26</t>
  </si>
  <si>
    <t>אפריל 26</t>
  </si>
  <si>
    <t>מאי 26</t>
  </si>
  <si>
    <t>יוני 26</t>
  </si>
  <si>
    <t>יולי 26</t>
  </si>
  <si>
    <t>אוגוסט 26</t>
  </si>
  <si>
    <t>ספטמבר 26</t>
  </si>
  <si>
    <t>אוקטובר 26</t>
  </si>
  <si>
    <t>נובמבר 26</t>
  </si>
  <si>
    <t>דצמבר 26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</si>
  <si>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>חדרים</t>
    </r>
  </si>
  <si>
    <t xml:space="preserve"> 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</si>
  <si>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>חדרים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</si>
  <si>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>חדרים</t>
    </r>
  </si>
  <si>
    <t>יתרה בקופה (₪)</t>
  </si>
  <si>
    <t>הערה: עדכן את היתרה הנוכחית בתא B1</t>
  </si>
  <si>
    <t>חודש</t>
  </si>
  <si>
    <t>סה״כ צפוי</t>
  </si>
  <si>
    <t>שילמו (2)</t>
  </si>
  <si>
    <t>ממתינים (1)</t>
  </si>
  <si>
    <t>לא שילמו (0)</t>
  </si>
  <si>
    <t>סה״כ נגבה</t>
  </si>
  <si>
    <t>אחוז גבייה</t>
  </si>
  <si>
    <t>דירות פעילות</t>
  </si>
  <si>
    <t>הוצאות (₪)</t>
  </si>
  <si>
    <t>סה״כ חובות נוכחי</t>
  </si>
  <si>
    <t>הוצאות חודשיות (מתעדכן אוטומטית)</t>
  </si>
  <si>
    <t>הוראות שימוש - מערכת מעקב תשלומי ועד בית</t>
  </si>
  <si>
    <t>סטטוסי תשלום:</t>
  </si>
  <si>
    <t>0 או ריק - לא שולם</t>
  </si>
  <si>
    <t>1 - צ׳ק הועבר לפרעון (ממתין)</t>
  </si>
  <si>
    <t>2 - שולם במלואו (סטטוס סופי)</t>
  </si>
  <si>
    <t>עמודת "פעיל":</t>
  </si>
  <si>
    <t>1 - דירה פעילה (משלמת ועד)</t>
  </si>
  <si>
    <t>0 - דירה לא פעילה (לא צריכה לשלם)</t>
  </si>
  <si>
    <t>עמודת "חוב עד 12/25":</t>
  </si>
  <si>
    <t>הכנס את סכום החוב שהיה לדירה עד סוף 2025</t>
  </si>
  <si>
    <t>זה כולל את כל חובות 2025 ומה שלפניו</t>
  </si>
  <si>
    <t>ברירת מחדל: 0</t>
  </si>
  <si>
    <t>חודשים:</t>
  </si>
  <si>
    <t>24 עמודות: ינואר 25 - דצמבר 26</t>
  </si>
  <si>
    <t>זה מאפשר גרף של 12 חודשים אחרונים</t>
  </si>
  <si>
    <t>יתרה בקופה:</t>
  </si>
  <si>
    <t>עדכן בגיליון "הגדרות" בתא B1</t>
  </si>
  <si>
    <t>חובות:</t>
  </si>
  <si>
    <t>המערכת מחשבת אוטומטית:</t>
  </si>
  <si>
    <t>חוב עד 12/25 + חודשי 2026 שעברו (לא החודש הנוכחי)</t>
  </si>
  <si>
    <t>קטגוריה</t>
  </si>
  <si>
    <t>חברת אחזקה</t>
  </si>
  <si>
    <t>מעליות</t>
  </si>
  <si>
    <t>בזק</t>
  </si>
  <si>
    <t>חשמל (כולל חניון)</t>
  </si>
  <si>
    <t>מסכים</t>
  </si>
  <si>
    <t>ביטוח</t>
  </si>
  <si>
    <t>טיפול בתקלות</t>
  </si>
  <si>
    <t>הוצאות שונות</t>
  </si>
  <si>
    <t>סה״כ חודשי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</si>
</sst>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FreeSans"/>
      <family val="2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i/>
      <sz val="11"/>
      <color rgb="FF666666"/>
      <name val="Arial"/>
      <family val="2"/>
      <charset val="1"/>
    </font>
    <font>
      <b/>
      <sz val="11"/>
      <name val="Arial"/>
      <family val="2"/>
      <charset val="1"/>
    </font>
    <font>
      <sz val="11"/>
      <color theme="1"/>
      <name val="FreeSans"/>
      <family val="2"/>
      <charset val="1"/>
    </font>
    <font>
      <sz val="11"/>
      <color rgb="FF0000FF"/>
      <name val="Arial"/>
      <family val="2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1"/>
      <name val="FreeSans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3498DB"/>
      </patternFill>
    </fill>
    <fill>
      <patternFill patternType="solid">
        <fgColor rgb="FFE74C3C"/>
        <bgColor rgb="FFFF8080"/>
      </patternFill>
    </fill>
    <fill>
      <patternFill patternType="solid">
        <fgColor rgb="FFF8F9FA"/>
        <bgColor rgb="FFFFFFFF"/>
      </patternFill>
    </fill>
    <fill>
      <patternFill patternType="solid">
        <fgColor rgb="FF3498DB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right" readingOrder="2"/>
    </xf>
    <xf numFmtId="0" fontId="12" fillId="0" borderId="0" xfId="0" applyFont="1" applyAlignment="1">
      <alignment horizontal="right" readingOrder="2"/>
    </xf>
    <xf numFmtId="0" fontId="13" fillId="0" borderId="0" xfId="0" applyFont="1" applyAlignment="1">
      <alignment horizontal="right" readingOrder="2"/>
    </xf>
    <xf numFmtId="0" fontId="14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74C3C"/>
      <rgbColor rgb="FF666666"/>
      <rgbColor rgb="FF969696"/>
      <rgbColor rgb="FF003366"/>
      <rgbColor rgb="FF3498D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rightToLeft="1" tabSelected="1" zoomScale="55" zoomScaleNormal="55" workbookViewId="0">
      <selection activeCell="N20" sqref="N20"/>
    </sheetView>
  </sheetViews>
  <sheetFormatPr defaultColWidth="8.7109375" defaultRowHeight="15"/>
  <cols>
    <col min="1" max="2" width="12" customWidth="1"/>
    <col min="3" max="3" width="15" customWidth="1"/>
    <col min="4" max="4" width="8" customWidth="1"/>
    <col min="5" max="5" width="16.7109375" customWidth="1"/>
    <col min="6" max="29" width="14" customWidth="1"/>
  </cols>
  <sheetData>
    <row r="1" spans="1:2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3" t="s">
        <v>29</v>
      </c>
      <c r="C2" s="4">
        <v>554</v>
      </c>
      <c r="D2" s="2">
        <v>1</v>
      </c>
      <c r="E2" s="4">
        <v>810</v>
      </c>
      <c r="F2" s="5"/>
      <c r="G2" s="5"/>
      <c r="H2" s="5">
        <v>2</v>
      </c>
      <c r="I2" s="5">
        <v>2</v>
      </c>
      <c r="J2" s="5">
        <v>2</v>
      </c>
      <c r="K2" s="5">
        <v>2</v>
      </c>
      <c r="L2" s="5">
        <v>2</v>
      </c>
      <c r="M2" s="5">
        <v>2</v>
      </c>
      <c r="N2" s="5">
        <v>2</v>
      </c>
      <c r="O2" s="5">
        <v>2</v>
      </c>
      <c r="P2" s="5" t="s">
        <v>30</v>
      </c>
      <c r="Q2" s="5" t="s">
        <v>30</v>
      </c>
      <c r="R2" s="5">
        <v>0</v>
      </c>
      <c r="S2" s="5">
        <v>0</v>
      </c>
      <c r="T2" s="5">
        <v>0</v>
      </c>
      <c r="U2" s="5" t="s">
        <v>30</v>
      </c>
      <c r="V2" s="5" t="s">
        <v>30</v>
      </c>
      <c r="W2" s="5" t="s">
        <v>30</v>
      </c>
      <c r="X2" s="5" t="s">
        <v>30</v>
      </c>
      <c r="Y2" s="5" t="s">
        <v>30</v>
      </c>
      <c r="Z2" s="5" t="s">
        <v>30</v>
      </c>
      <c r="AA2" s="5" t="s">
        <v>30</v>
      </c>
      <c r="AB2" s="5" t="s">
        <v>30</v>
      </c>
      <c r="AC2" s="5" t="s">
        <v>30</v>
      </c>
    </row>
    <row r="3" spans="1:29" ht="15" customHeight="1">
      <c r="A3" s="2">
        <v>2</v>
      </c>
      <c r="B3" s="3" t="s">
        <v>29</v>
      </c>
      <c r="C3" s="4">
        <v>522</v>
      </c>
      <c r="D3" s="2">
        <v>1</v>
      </c>
      <c r="E3" s="4">
        <v>0</v>
      </c>
      <c r="F3" s="5"/>
      <c r="G3" s="5"/>
      <c r="H3" s="5">
        <v>2</v>
      </c>
      <c r="I3" s="5">
        <v>2</v>
      </c>
      <c r="J3" s="5">
        <v>2</v>
      </c>
      <c r="K3" s="5">
        <v>2</v>
      </c>
      <c r="L3" s="5">
        <v>2</v>
      </c>
      <c r="M3" s="5">
        <v>2</v>
      </c>
      <c r="N3" s="5">
        <v>2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0</v>
      </c>
      <c r="U3" s="5" t="s">
        <v>30</v>
      </c>
      <c r="V3" s="5" t="s">
        <v>30</v>
      </c>
      <c r="W3" s="5" t="s">
        <v>30</v>
      </c>
      <c r="X3" s="5" t="s">
        <v>30</v>
      </c>
      <c r="Y3" s="5" t="s">
        <v>30</v>
      </c>
      <c r="Z3" s="5" t="s">
        <v>30</v>
      </c>
      <c r="AA3" s="5" t="s">
        <v>30</v>
      </c>
      <c r="AB3" s="5" t="s">
        <v>30</v>
      </c>
      <c r="AC3" s="5" t="s">
        <v>30</v>
      </c>
    </row>
    <row r="4" spans="1:29" ht="15" customHeight="1">
      <c r="A4" s="2">
        <v>3</v>
      </c>
      <c r="B4" s="3" t="s">
        <v>29</v>
      </c>
      <c r="C4" s="4">
        <v>549</v>
      </c>
      <c r="D4" s="2">
        <v>1</v>
      </c>
      <c r="E4" s="4">
        <v>0</v>
      </c>
      <c r="F4" s="5"/>
      <c r="G4" s="5"/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>
        <v>0</v>
      </c>
      <c r="U4" s="5" t="s">
        <v>30</v>
      </c>
      <c r="V4" s="5" t="s">
        <v>30</v>
      </c>
      <c r="W4" s="5" t="s">
        <v>30</v>
      </c>
      <c r="X4" s="5" t="s">
        <v>30</v>
      </c>
      <c r="Y4" s="5" t="s">
        <v>30</v>
      </c>
      <c r="Z4" s="5" t="s">
        <v>30</v>
      </c>
      <c r="AA4" s="5" t="s">
        <v>30</v>
      </c>
      <c r="AB4" s="5" t="s">
        <v>30</v>
      </c>
      <c r="AC4" s="5" t="s">
        <v>30</v>
      </c>
    </row>
    <row r="5" spans="1:29" ht="15" customHeight="1">
      <c r="A5" s="2">
        <v>4</v>
      </c>
      <c r="B5" s="3" t="s">
        <v>29</v>
      </c>
      <c r="C5" s="4">
        <v>549</v>
      </c>
      <c r="D5" s="2">
        <v>1</v>
      </c>
      <c r="E5" s="4">
        <v>0</v>
      </c>
      <c r="F5" s="5"/>
      <c r="G5" s="5"/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</row>
    <row r="6" spans="1:29" ht="15" customHeight="1">
      <c r="A6" s="2">
        <v>5</v>
      </c>
      <c r="B6" s="3" t="s">
        <v>31</v>
      </c>
      <c r="C6" s="4">
        <v>482</v>
      </c>
      <c r="D6" s="2">
        <v>1</v>
      </c>
      <c r="E6" s="4">
        <v>0</v>
      </c>
      <c r="F6" s="5"/>
      <c r="G6" s="5"/>
      <c r="H6" s="5">
        <v>2</v>
      </c>
      <c r="I6" s="5">
        <v>2</v>
      </c>
      <c r="J6" s="5">
        <v>2</v>
      </c>
      <c r="K6" s="5">
        <v>2</v>
      </c>
      <c r="L6" s="5">
        <v>2</v>
      </c>
      <c r="M6" s="5">
        <v>2</v>
      </c>
      <c r="N6" s="5">
        <v>2</v>
      </c>
      <c r="O6" s="5">
        <v>2</v>
      </c>
      <c r="P6" s="5">
        <v>2</v>
      </c>
      <c r="Q6" s="5">
        <v>2</v>
      </c>
      <c r="R6" s="5">
        <v>2</v>
      </c>
      <c r="S6" s="5">
        <v>2</v>
      </c>
      <c r="T6" s="5">
        <v>1</v>
      </c>
      <c r="U6" s="5">
        <v>1</v>
      </c>
      <c r="V6" s="5">
        <v>1</v>
      </c>
      <c r="W6" s="5">
        <v>1</v>
      </c>
      <c r="X6" s="5" t="s">
        <v>30</v>
      </c>
      <c r="Y6" s="5" t="s">
        <v>30</v>
      </c>
      <c r="Z6" s="5" t="s">
        <v>30</v>
      </c>
      <c r="AA6" s="5" t="s">
        <v>30</v>
      </c>
      <c r="AB6" s="5" t="s">
        <v>30</v>
      </c>
      <c r="AC6" s="5" t="s">
        <v>30</v>
      </c>
    </row>
    <row r="7" spans="1:29" ht="15" customHeight="1">
      <c r="A7" s="2">
        <v>6</v>
      </c>
      <c r="B7" s="3" t="s">
        <v>32</v>
      </c>
      <c r="C7" s="4">
        <v>347</v>
      </c>
      <c r="D7" s="2">
        <v>1</v>
      </c>
      <c r="E7" s="4">
        <v>0</v>
      </c>
      <c r="F7" s="5"/>
      <c r="G7" s="5"/>
      <c r="H7" s="5">
        <v>2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5">
        <v>2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5" t="s">
        <v>30</v>
      </c>
      <c r="V7" s="5" t="s">
        <v>30</v>
      </c>
      <c r="W7" s="5" t="s">
        <v>30</v>
      </c>
      <c r="X7" s="5" t="s">
        <v>30</v>
      </c>
      <c r="Y7" s="5" t="s">
        <v>30</v>
      </c>
      <c r="Z7" s="5" t="s">
        <v>30</v>
      </c>
      <c r="AA7" s="5" t="s">
        <v>30</v>
      </c>
      <c r="AB7" s="5" t="s">
        <v>30</v>
      </c>
      <c r="AC7" s="5" t="s">
        <v>30</v>
      </c>
    </row>
    <row r="8" spans="1:29" ht="15" customHeight="1">
      <c r="A8" s="2">
        <v>7</v>
      </c>
      <c r="B8" s="3" t="s">
        <v>32</v>
      </c>
      <c r="C8" s="4">
        <v>347</v>
      </c>
      <c r="D8" s="2">
        <v>1</v>
      </c>
      <c r="E8" s="4">
        <v>0</v>
      </c>
      <c r="F8" s="5"/>
      <c r="G8" s="5"/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0</v>
      </c>
      <c r="U8" s="5" t="s">
        <v>30</v>
      </c>
      <c r="V8" s="5" t="s">
        <v>30</v>
      </c>
      <c r="W8" s="5" t="s">
        <v>30</v>
      </c>
      <c r="X8" s="5" t="s">
        <v>30</v>
      </c>
      <c r="Y8" s="5" t="s">
        <v>30</v>
      </c>
      <c r="Z8" s="5" t="s">
        <v>30</v>
      </c>
      <c r="AA8" s="5" t="s">
        <v>30</v>
      </c>
      <c r="AB8" s="5" t="s">
        <v>30</v>
      </c>
      <c r="AC8" s="5" t="s">
        <v>30</v>
      </c>
    </row>
    <row r="9" spans="1:29" ht="15" customHeight="1">
      <c r="A9" s="2">
        <v>8</v>
      </c>
      <c r="B9" s="3" t="s">
        <v>29</v>
      </c>
      <c r="C9" s="4">
        <v>522</v>
      </c>
      <c r="D9" s="2">
        <v>1</v>
      </c>
      <c r="E9" s="4">
        <v>0</v>
      </c>
      <c r="F9" s="5"/>
      <c r="G9" s="5"/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  <c r="N9" s="5">
        <v>2</v>
      </c>
      <c r="O9" s="5">
        <v>2</v>
      </c>
      <c r="P9" s="5">
        <v>2</v>
      </c>
      <c r="Q9" s="5">
        <v>2</v>
      </c>
      <c r="R9" s="5">
        <v>2</v>
      </c>
      <c r="S9" s="5">
        <v>2</v>
      </c>
      <c r="T9" s="5">
        <v>0</v>
      </c>
      <c r="U9" s="5" t="s">
        <v>30</v>
      </c>
      <c r="V9" s="5" t="s">
        <v>30</v>
      </c>
      <c r="W9" s="5" t="s">
        <v>30</v>
      </c>
      <c r="X9" s="5" t="s">
        <v>30</v>
      </c>
      <c r="Y9" s="5" t="s">
        <v>30</v>
      </c>
      <c r="Z9" s="5" t="s">
        <v>30</v>
      </c>
      <c r="AA9" s="5" t="s">
        <v>30</v>
      </c>
      <c r="AB9" s="5" t="s">
        <v>30</v>
      </c>
      <c r="AC9" s="5" t="s">
        <v>30</v>
      </c>
    </row>
    <row r="10" spans="1:29" ht="15" customHeight="1">
      <c r="A10" s="2">
        <v>9</v>
      </c>
      <c r="B10" s="3" t="s">
        <v>29</v>
      </c>
      <c r="C10" s="4">
        <v>549</v>
      </c>
      <c r="D10" s="2">
        <v>1</v>
      </c>
      <c r="E10" s="4">
        <v>0</v>
      </c>
      <c r="F10" s="5"/>
      <c r="G10" s="5"/>
      <c r="H10" s="5">
        <v>2</v>
      </c>
      <c r="I10" s="5">
        <v>2</v>
      </c>
      <c r="J10" s="5">
        <v>2</v>
      </c>
      <c r="K10" s="5">
        <v>2</v>
      </c>
      <c r="L10" s="5">
        <v>2</v>
      </c>
      <c r="M10" s="5">
        <v>2</v>
      </c>
      <c r="N10" s="5">
        <v>2</v>
      </c>
      <c r="O10" s="5">
        <v>2</v>
      </c>
      <c r="P10" s="5">
        <v>2</v>
      </c>
      <c r="Q10" s="5">
        <v>2</v>
      </c>
      <c r="R10" s="5">
        <v>2</v>
      </c>
      <c r="S10" s="5">
        <v>2</v>
      </c>
      <c r="T10" s="5">
        <v>0</v>
      </c>
      <c r="U10" s="5" t="s">
        <v>30</v>
      </c>
      <c r="V10" s="5" t="s">
        <v>30</v>
      </c>
      <c r="W10" s="5" t="s">
        <v>30</v>
      </c>
      <c r="X10" s="5" t="s">
        <v>30</v>
      </c>
      <c r="Y10" s="5" t="s">
        <v>30</v>
      </c>
      <c r="Z10" s="5" t="s">
        <v>30</v>
      </c>
      <c r="AA10" s="5" t="s">
        <v>30</v>
      </c>
      <c r="AB10" s="5" t="s">
        <v>30</v>
      </c>
      <c r="AC10" s="5" t="s">
        <v>30</v>
      </c>
    </row>
    <row r="11" spans="1:29" ht="15" customHeight="1">
      <c r="A11" s="2">
        <v>10</v>
      </c>
      <c r="B11" s="3" t="s">
        <v>29</v>
      </c>
      <c r="C11" s="4">
        <v>549</v>
      </c>
      <c r="D11" s="2">
        <v>1</v>
      </c>
      <c r="E11" s="4">
        <v>0</v>
      </c>
      <c r="F11" s="5"/>
      <c r="G11" s="5"/>
      <c r="H11" s="5">
        <v>2</v>
      </c>
      <c r="I11" s="5">
        <v>2</v>
      </c>
      <c r="J11" s="5">
        <v>2</v>
      </c>
      <c r="K11" s="5">
        <v>2</v>
      </c>
      <c r="L11" s="5">
        <v>2</v>
      </c>
      <c r="M11" s="5">
        <v>2</v>
      </c>
      <c r="N11" s="5">
        <v>2</v>
      </c>
      <c r="O11" s="5">
        <v>2</v>
      </c>
      <c r="P11" s="5">
        <v>2</v>
      </c>
      <c r="Q11" s="5">
        <v>2</v>
      </c>
      <c r="R11" s="5">
        <v>2</v>
      </c>
      <c r="S11" s="5">
        <v>2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</row>
    <row r="12" spans="1:29" ht="15" customHeight="1">
      <c r="A12" s="2">
        <v>11</v>
      </c>
      <c r="B12" s="3" t="s">
        <v>31</v>
      </c>
      <c r="C12" s="4">
        <v>482</v>
      </c>
      <c r="D12" s="2">
        <v>1</v>
      </c>
      <c r="E12" s="4">
        <v>0</v>
      </c>
      <c r="F12" s="5"/>
      <c r="G12" s="5"/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>
        <v>2</v>
      </c>
      <c r="P12" s="5">
        <v>2</v>
      </c>
      <c r="Q12" s="5">
        <v>2</v>
      </c>
      <c r="R12" s="5">
        <v>2</v>
      </c>
      <c r="S12" s="5">
        <v>2</v>
      </c>
      <c r="T12" s="5">
        <v>0</v>
      </c>
      <c r="U12" s="5" t="s">
        <v>30</v>
      </c>
      <c r="V12" s="5" t="s">
        <v>30</v>
      </c>
      <c r="W12" s="5" t="s">
        <v>30</v>
      </c>
      <c r="X12" s="5" t="s">
        <v>30</v>
      </c>
      <c r="Y12" s="5" t="s">
        <v>30</v>
      </c>
      <c r="Z12" s="5" t="s">
        <v>30</v>
      </c>
      <c r="AA12" s="5" t="s">
        <v>30</v>
      </c>
      <c r="AB12" s="5" t="s">
        <v>30</v>
      </c>
      <c r="AC12" s="5" t="s">
        <v>30</v>
      </c>
    </row>
    <row r="13" spans="1:29" ht="15" customHeight="1">
      <c r="A13" s="2">
        <v>12</v>
      </c>
      <c r="B13" s="3" t="s">
        <v>32</v>
      </c>
      <c r="C13" s="4">
        <v>347</v>
      </c>
      <c r="D13" s="2">
        <v>1</v>
      </c>
      <c r="E13" s="4">
        <v>0</v>
      </c>
      <c r="F13" s="5"/>
      <c r="G13" s="5"/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T13" s="5">
        <v>0</v>
      </c>
      <c r="U13" s="5" t="s">
        <v>30</v>
      </c>
      <c r="V13" s="5" t="s">
        <v>30</v>
      </c>
      <c r="W13" s="5" t="s">
        <v>30</v>
      </c>
      <c r="X13" s="5" t="s">
        <v>30</v>
      </c>
      <c r="Y13" s="5" t="s">
        <v>30</v>
      </c>
      <c r="Z13" s="5" t="s">
        <v>30</v>
      </c>
      <c r="AA13" s="5" t="s">
        <v>30</v>
      </c>
      <c r="AB13" s="5" t="s">
        <v>30</v>
      </c>
      <c r="AC13" s="5" t="s">
        <v>30</v>
      </c>
    </row>
    <row r="14" spans="1:29" ht="15" customHeight="1">
      <c r="A14" s="2">
        <v>13</v>
      </c>
      <c r="B14" s="3" t="s">
        <v>32</v>
      </c>
      <c r="C14" s="4">
        <v>347</v>
      </c>
      <c r="D14" s="2">
        <v>1</v>
      </c>
      <c r="E14" s="4">
        <v>0</v>
      </c>
      <c r="F14" s="5"/>
      <c r="G14" s="5"/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T14" s="5">
        <v>0</v>
      </c>
      <c r="U14" s="5" t="s">
        <v>30</v>
      </c>
      <c r="V14" s="5" t="s">
        <v>30</v>
      </c>
      <c r="W14" s="5" t="s">
        <v>30</v>
      </c>
      <c r="X14" s="5" t="s">
        <v>30</v>
      </c>
      <c r="Y14" s="5" t="s">
        <v>30</v>
      </c>
      <c r="Z14" s="5" t="s">
        <v>30</v>
      </c>
      <c r="AA14" s="5" t="s">
        <v>30</v>
      </c>
      <c r="AB14" s="5" t="s">
        <v>30</v>
      </c>
      <c r="AC14" s="5" t="s">
        <v>30</v>
      </c>
    </row>
    <row r="15" spans="1:29" ht="15" customHeight="1">
      <c r="A15" s="2">
        <v>14</v>
      </c>
      <c r="B15" s="3" t="s">
        <v>29</v>
      </c>
      <c r="C15" s="4">
        <v>522</v>
      </c>
      <c r="D15" s="2">
        <v>1</v>
      </c>
      <c r="E15" s="4">
        <v>0</v>
      </c>
      <c r="F15" s="5"/>
      <c r="G15" s="5"/>
      <c r="H15" s="5">
        <v>2</v>
      </c>
      <c r="I15" s="5">
        <v>2</v>
      </c>
      <c r="J15" s="5">
        <v>2</v>
      </c>
      <c r="K15" s="5">
        <v>2</v>
      </c>
      <c r="L15" s="5">
        <v>2</v>
      </c>
      <c r="M15" s="5">
        <v>2</v>
      </c>
      <c r="N15" s="5">
        <v>2</v>
      </c>
      <c r="O15" s="5">
        <v>2</v>
      </c>
      <c r="P15" s="5">
        <v>2</v>
      </c>
      <c r="Q15" s="5">
        <v>2</v>
      </c>
      <c r="R15" s="5">
        <v>2</v>
      </c>
      <c r="S15" s="5">
        <v>2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</row>
    <row r="16" spans="1:29" ht="15" customHeight="1">
      <c r="A16" s="2">
        <v>15</v>
      </c>
      <c r="B16" s="3" t="s">
        <v>29</v>
      </c>
      <c r="C16" s="4">
        <v>549</v>
      </c>
      <c r="D16" s="2">
        <v>1</v>
      </c>
      <c r="E16" s="4">
        <v>0</v>
      </c>
      <c r="F16" s="5"/>
      <c r="G16" s="5"/>
      <c r="H16" s="5">
        <v>2</v>
      </c>
      <c r="I16" s="5">
        <v>2</v>
      </c>
      <c r="J16" s="5">
        <v>2</v>
      </c>
      <c r="K16" s="5">
        <v>2</v>
      </c>
      <c r="L16" s="5">
        <v>2</v>
      </c>
      <c r="M16" s="5">
        <v>2</v>
      </c>
      <c r="N16" s="5">
        <v>2</v>
      </c>
      <c r="O16" s="5">
        <v>2</v>
      </c>
      <c r="P16" s="5">
        <v>2</v>
      </c>
      <c r="Q16" s="5">
        <v>2</v>
      </c>
      <c r="R16" s="5">
        <v>2</v>
      </c>
      <c r="S16" s="5">
        <v>2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</row>
    <row r="17" spans="1:29" ht="15" customHeight="1">
      <c r="A17" s="2">
        <v>16</v>
      </c>
      <c r="B17" s="3" t="s">
        <v>29</v>
      </c>
      <c r="C17" s="4">
        <v>549</v>
      </c>
      <c r="D17" s="2">
        <v>1</v>
      </c>
      <c r="E17" s="4">
        <v>0</v>
      </c>
      <c r="F17" s="5"/>
      <c r="G17" s="5"/>
      <c r="H17" s="5">
        <v>2</v>
      </c>
      <c r="I17" s="5">
        <v>2</v>
      </c>
      <c r="J17" s="5">
        <v>2</v>
      </c>
      <c r="K17" s="5">
        <v>2</v>
      </c>
      <c r="L17" s="5">
        <v>2</v>
      </c>
      <c r="M17" s="5">
        <v>2</v>
      </c>
      <c r="N17" s="5">
        <v>2</v>
      </c>
      <c r="O17" s="5">
        <v>2</v>
      </c>
      <c r="P17" s="5">
        <v>2</v>
      </c>
      <c r="Q17" s="5">
        <v>2</v>
      </c>
      <c r="R17" s="5">
        <v>0</v>
      </c>
      <c r="S17" s="5">
        <v>0</v>
      </c>
      <c r="T17" s="5">
        <v>0</v>
      </c>
      <c r="U17" s="5" t="s">
        <v>30</v>
      </c>
      <c r="V17" s="5" t="s">
        <v>30</v>
      </c>
      <c r="W17" s="5" t="s">
        <v>30</v>
      </c>
      <c r="X17" s="5" t="s">
        <v>30</v>
      </c>
      <c r="Y17" s="5" t="s">
        <v>30</v>
      </c>
      <c r="Z17" s="5" t="s">
        <v>30</v>
      </c>
      <c r="AA17" s="5" t="s">
        <v>30</v>
      </c>
      <c r="AB17" s="5" t="s">
        <v>30</v>
      </c>
      <c r="AC17" s="5" t="s">
        <v>30</v>
      </c>
    </row>
    <row r="18" spans="1:29" ht="15" customHeight="1">
      <c r="A18" s="2">
        <v>17</v>
      </c>
      <c r="B18" s="3" t="s">
        <v>31</v>
      </c>
      <c r="C18" s="4">
        <v>482</v>
      </c>
      <c r="D18" s="2">
        <v>1</v>
      </c>
      <c r="E18" s="4">
        <v>482</v>
      </c>
      <c r="F18" s="5"/>
      <c r="G18" s="5"/>
      <c r="H18" s="5">
        <v>2</v>
      </c>
      <c r="I18" s="5">
        <v>2</v>
      </c>
      <c r="J18" s="5">
        <v>2</v>
      </c>
      <c r="K18" s="5">
        <v>2</v>
      </c>
      <c r="L18" s="5">
        <v>2</v>
      </c>
      <c r="M18" s="5">
        <v>2</v>
      </c>
      <c r="N18" s="5">
        <v>2</v>
      </c>
      <c r="O18" s="5">
        <v>2</v>
      </c>
      <c r="P18" s="5">
        <v>2</v>
      </c>
      <c r="Q18" s="5" t="s">
        <v>30</v>
      </c>
      <c r="R18" s="5">
        <v>2</v>
      </c>
      <c r="S18" s="5">
        <v>2</v>
      </c>
      <c r="T18" s="5">
        <v>0</v>
      </c>
      <c r="U18" s="5" t="s">
        <v>30</v>
      </c>
      <c r="V18" s="5" t="s">
        <v>30</v>
      </c>
      <c r="W18" s="5" t="s">
        <v>30</v>
      </c>
      <c r="X18" s="5" t="s">
        <v>30</v>
      </c>
      <c r="Y18" s="5" t="s">
        <v>30</v>
      </c>
      <c r="Z18" s="5" t="s">
        <v>30</v>
      </c>
      <c r="AA18" s="5" t="s">
        <v>30</v>
      </c>
      <c r="AB18" s="5" t="s">
        <v>30</v>
      </c>
      <c r="AC18" s="5" t="s">
        <v>30</v>
      </c>
    </row>
    <row r="19" spans="1:29" ht="15" customHeight="1">
      <c r="A19" s="2">
        <v>18</v>
      </c>
      <c r="B19" s="3" t="s">
        <v>32</v>
      </c>
      <c r="C19" s="4">
        <v>347</v>
      </c>
      <c r="D19" s="2">
        <v>1</v>
      </c>
      <c r="E19" s="4">
        <v>0</v>
      </c>
      <c r="F19" s="5"/>
      <c r="G19" s="5"/>
      <c r="H19" s="5">
        <v>2</v>
      </c>
      <c r="I19" s="5">
        <v>2</v>
      </c>
      <c r="J19" s="5">
        <v>2</v>
      </c>
      <c r="K19" s="5">
        <v>2</v>
      </c>
      <c r="L19" s="5">
        <v>2</v>
      </c>
      <c r="M19" s="5">
        <v>2</v>
      </c>
      <c r="N19" s="5">
        <v>2</v>
      </c>
      <c r="O19" s="5">
        <v>2</v>
      </c>
      <c r="P19" s="5">
        <v>2</v>
      </c>
      <c r="Q19" s="5">
        <v>2</v>
      </c>
      <c r="R19" s="5">
        <v>2</v>
      </c>
      <c r="S19" s="5">
        <v>0</v>
      </c>
      <c r="T19" s="5">
        <v>0</v>
      </c>
      <c r="U19" s="5" t="s">
        <v>30</v>
      </c>
      <c r="V19" s="5" t="s">
        <v>30</v>
      </c>
      <c r="W19" s="5" t="s">
        <v>30</v>
      </c>
      <c r="X19" s="5" t="s">
        <v>30</v>
      </c>
      <c r="Y19" s="5" t="s">
        <v>30</v>
      </c>
      <c r="Z19" s="5" t="s">
        <v>30</v>
      </c>
      <c r="AA19" s="5" t="s">
        <v>30</v>
      </c>
      <c r="AB19" s="5" t="s">
        <v>30</v>
      </c>
      <c r="AC19" s="5" t="s">
        <v>30</v>
      </c>
    </row>
    <row r="20" spans="1:29" ht="15" customHeight="1">
      <c r="A20" s="2">
        <v>19</v>
      </c>
      <c r="B20" s="3" t="s">
        <v>32</v>
      </c>
      <c r="C20" s="4">
        <v>347</v>
      </c>
      <c r="D20" s="2">
        <v>1</v>
      </c>
      <c r="E20" s="4">
        <v>0</v>
      </c>
      <c r="F20" s="5"/>
      <c r="G20" s="5"/>
      <c r="H20" s="5">
        <v>2</v>
      </c>
      <c r="I20" s="5">
        <v>2</v>
      </c>
      <c r="J20" s="5">
        <v>2</v>
      </c>
      <c r="K20" s="5">
        <v>2</v>
      </c>
      <c r="L20" s="5">
        <v>2</v>
      </c>
      <c r="M20" s="5">
        <v>2</v>
      </c>
      <c r="N20" s="5">
        <v>2</v>
      </c>
      <c r="O20" s="5">
        <v>2</v>
      </c>
      <c r="P20" s="5">
        <v>2</v>
      </c>
      <c r="Q20" s="5">
        <v>2</v>
      </c>
      <c r="R20" s="5">
        <v>2</v>
      </c>
      <c r="S20" s="5">
        <v>2</v>
      </c>
      <c r="T20" s="5">
        <v>0</v>
      </c>
      <c r="U20" s="5" t="s">
        <v>30</v>
      </c>
      <c r="V20" s="5" t="s">
        <v>30</v>
      </c>
      <c r="W20" s="5" t="s">
        <v>30</v>
      </c>
      <c r="X20" s="5" t="s">
        <v>30</v>
      </c>
      <c r="Y20" s="5" t="s">
        <v>30</v>
      </c>
      <c r="Z20" s="5" t="s">
        <v>30</v>
      </c>
      <c r="AA20" s="5" t="s">
        <v>30</v>
      </c>
      <c r="AB20" s="5" t="s">
        <v>30</v>
      </c>
      <c r="AC20" s="5" t="s">
        <v>30</v>
      </c>
    </row>
    <row r="21" spans="1:29" ht="15" customHeight="1">
      <c r="A21" s="2">
        <v>20</v>
      </c>
      <c r="B21" s="3" t="s">
        <v>29</v>
      </c>
      <c r="C21" s="4">
        <v>522</v>
      </c>
      <c r="D21" s="2">
        <v>1</v>
      </c>
      <c r="E21" s="4">
        <v>0</v>
      </c>
      <c r="F21" s="5"/>
      <c r="G21" s="5"/>
      <c r="H21" s="5">
        <v>2</v>
      </c>
      <c r="I21" s="5">
        <v>2</v>
      </c>
      <c r="J21" s="5">
        <v>2</v>
      </c>
      <c r="K21" s="5">
        <v>2</v>
      </c>
      <c r="L21" s="5">
        <v>2</v>
      </c>
      <c r="M21" s="5">
        <v>2</v>
      </c>
      <c r="N21" s="5">
        <v>2</v>
      </c>
      <c r="O21" s="5">
        <v>2</v>
      </c>
      <c r="P21" s="5">
        <v>2</v>
      </c>
      <c r="Q21" s="5">
        <v>2</v>
      </c>
      <c r="R21" s="5">
        <v>2</v>
      </c>
      <c r="S21" s="5">
        <v>2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 t="s">
        <v>30</v>
      </c>
      <c r="AB21" s="5">
        <v>1</v>
      </c>
      <c r="AC21" s="5">
        <v>1</v>
      </c>
    </row>
    <row r="22" spans="1:29" ht="15" customHeight="1">
      <c r="A22" s="2">
        <v>21</v>
      </c>
      <c r="B22" s="3" t="s">
        <v>29</v>
      </c>
      <c r="C22" s="4">
        <v>549</v>
      </c>
      <c r="D22" s="2">
        <v>1</v>
      </c>
      <c r="E22" s="4">
        <v>0</v>
      </c>
      <c r="F22" s="5"/>
      <c r="G22" s="5"/>
      <c r="H22" s="5">
        <v>2</v>
      </c>
      <c r="I22" s="5">
        <v>2</v>
      </c>
      <c r="J22" s="5">
        <v>2</v>
      </c>
      <c r="K22" s="5">
        <v>2</v>
      </c>
      <c r="L22" s="5">
        <v>2</v>
      </c>
      <c r="M22" s="5">
        <v>2</v>
      </c>
      <c r="N22" s="5">
        <v>2</v>
      </c>
      <c r="O22" s="5">
        <v>2</v>
      </c>
      <c r="P22" s="5">
        <v>2</v>
      </c>
      <c r="Q22" s="5">
        <v>2</v>
      </c>
      <c r="R22" s="5">
        <v>2</v>
      </c>
      <c r="S22" s="5">
        <v>2</v>
      </c>
      <c r="T22" s="5">
        <v>0</v>
      </c>
      <c r="U22" s="5" t="s">
        <v>30</v>
      </c>
      <c r="V22" s="5" t="s">
        <v>30</v>
      </c>
      <c r="W22" s="5" t="s">
        <v>30</v>
      </c>
      <c r="X22" s="5" t="s">
        <v>30</v>
      </c>
      <c r="Y22" s="5" t="s">
        <v>30</v>
      </c>
      <c r="Z22" s="5" t="s">
        <v>30</v>
      </c>
      <c r="AA22" s="5" t="s">
        <v>30</v>
      </c>
      <c r="AB22" s="5" t="s">
        <v>30</v>
      </c>
      <c r="AC22" s="5" t="s">
        <v>30</v>
      </c>
    </row>
    <row r="23" spans="1:29" ht="15" customHeight="1">
      <c r="A23" s="2">
        <v>22</v>
      </c>
      <c r="B23" s="3" t="s">
        <v>29</v>
      </c>
      <c r="C23" s="4">
        <v>549</v>
      </c>
      <c r="D23" s="2">
        <v>1</v>
      </c>
      <c r="E23" s="4">
        <v>0</v>
      </c>
      <c r="F23" s="5"/>
      <c r="G23" s="5"/>
      <c r="H23" s="5">
        <v>2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2</v>
      </c>
      <c r="O23" s="5">
        <v>2</v>
      </c>
      <c r="P23" s="5">
        <v>2</v>
      </c>
      <c r="Q23" s="5">
        <v>2</v>
      </c>
      <c r="R23" s="5">
        <v>2</v>
      </c>
      <c r="S23" s="5">
        <v>2</v>
      </c>
      <c r="T23" s="5">
        <v>0</v>
      </c>
      <c r="U23" s="5" t="s">
        <v>30</v>
      </c>
      <c r="V23" s="5" t="s">
        <v>30</v>
      </c>
      <c r="W23" s="5" t="s">
        <v>30</v>
      </c>
      <c r="X23" s="5" t="s">
        <v>30</v>
      </c>
      <c r="Y23" s="5" t="s">
        <v>30</v>
      </c>
      <c r="Z23" s="5" t="s">
        <v>30</v>
      </c>
      <c r="AA23" s="5" t="s">
        <v>30</v>
      </c>
      <c r="AB23" s="5" t="s">
        <v>30</v>
      </c>
      <c r="AC23" s="5" t="s">
        <v>30</v>
      </c>
    </row>
    <row r="24" spans="1:29" ht="15" customHeight="1">
      <c r="A24" s="2">
        <v>23</v>
      </c>
      <c r="B24" s="3" t="s">
        <v>31</v>
      </c>
      <c r="C24" s="4">
        <v>482</v>
      </c>
      <c r="D24" s="2">
        <v>1</v>
      </c>
      <c r="E24" s="4">
        <v>0</v>
      </c>
      <c r="F24" s="5"/>
      <c r="G24" s="5"/>
      <c r="H24" s="5">
        <v>2</v>
      </c>
      <c r="I24" s="5">
        <v>2</v>
      </c>
      <c r="J24" s="5">
        <v>2</v>
      </c>
      <c r="K24" s="5">
        <v>2</v>
      </c>
      <c r="L24" s="5">
        <v>2</v>
      </c>
      <c r="M24" s="5">
        <v>2</v>
      </c>
      <c r="N24" s="5">
        <v>2</v>
      </c>
      <c r="O24" s="5">
        <v>2</v>
      </c>
      <c r="P24" s="5">
        <v>2</v>
      </c>
      <c r="Q24" s="5">
        <v>2</v>
      </c>
      <c r="R24" s="5">
        <v>2</v>
      </c>
      <c r="S24" s="5">
        <v>2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</row>
    <row r="25" spans="1:29" ht="15" customHeight="1">
      <c r="A25" s="2">
        <v>24</v>
      </c>
      <c r="B25" s="3" t="s">
        <v>32</v>
      </c>
      <c r="C25" s="4">
        <v>347</v>
      </c>
      <c r="D25" s="2">
        <v>1</v>
      </c>
      <c r="E25" s="4">
        <v>0</v>
      </c>
      <c r="F25" s="5"/>
      <c r="G25" s="5"/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5">
        <v>2</v>
      </c>
      <c r="O25" s="5">
        <v>2</v>
      </c>
      <c r="P25" s="5">
        <v>2</v>
      </c>
      <c r="Q25" s="5">
        <v>2</v>
      </c>
      <c r="R25" s="5">
        <v>2</v>
      </c>
      <c r="S25" s="5">
        <v>2</v>
      </c>
      <c r="T25" s="5">
        <v>0</v>
      </c>
      <c r="U25" s="5" t="s">
        <v>30</v>
      </c>
      <c r="V25" s="5" t="s">
        <v>30</v>
      </c>
      <c r="W25" s="5" t="s">
        <v>30</v>
      </c>
      <c r="X25" s="5" t="s">
        <v>30</v>
      </c>
      <c r="Y25" s="5" t="s">
        <v>30</v>
      </c>
      <c r="Z25" s="5" t="s">
        <v>30</v>
      </c>
      <c r="AA25" s="5" t="s">
        <v>30</v>
      </c>
      <c r="AB25" s="5" t="s">
        <v>30</v>
      </c>
      <c r="AC25" s="5" t="s">
        <v>30</v>
      </c>
    </row>
    <row r="26" spans="1:29" ht="15" customHeight="1">
      <c r="A26" s="2">
        <v>25</v>
      </c>
      <c r="B26" s="3" t="s">
        <v>32</v>
      </c>
      <c r="C26" s="4">
        <v>347</v>
      </c>
      <c r="D26" s="2">
        <v>1</v>
      </c>
      <c r="E26" s="4">
        <v>0</v>
      </c>
      <c r="F26" s="5"/>
      <c r="G26" s="5"/>
      <c r="H26" s="5">
        <v>2</v>
      </c>
      <c r="I26" s="5">
        <v>2</v>
      </c>
      <c r="J26" s="5">
        <v>2</v>
      </c>
      <c r="K26" s="5">
        <v>2</v>
      </c>
      <c r="L26" s="5">
        <v>2</v>
      </c>
      <c r="M26" s="5">
        <v>2</v>
      </c>
      <c r="N26" s="5">
        <v>2</v>
      </c>
      <c r="O26" s="5">
        <v>2</v>
      </c>
      <c r="P26" s="5">
        <v>2</v>
      </c>
      <c r="Q26" s="5">
        <v>2</v>
      </c>
      <c r="R26" s="5">
        <v>2</v>
      </c>
      <c r="S26" s="5">
        <v>2</v>
      </c>
      <c r="T26" s="5">
        <v>0</v>
      </c>
      <c r="U26" s="5" t="s">
        <v>30</v>
      </c>
      <c r="V26" s="5" t="s">
        <v>30</v>
      </c>
      <c r="W26" s="5" t="s">
        <v>30</v>
      </c>
      <c r="X26" s="5" t="s">
        <v>30</v>
      </c>
      <c r="Y26" s="5" t="s">
        <v>30</v>
      </c>
      <c r="Z26" s="5" t="s">
        <v>30</v>
      </c>
      <c r="AA26" s="5" t="s">
        <v>30</v>
      </c>
      <c r="AB26" s="5" t="s">
        <v>30</v>
      </c>
      <c r="AC26" s="5" t="s">
        <v>30</v>
      </c>
    </row>
    <row r="27" spans="1:29" ht="15" customHeight="1">
      <c r="A27" s="2">
        <v>26</v>
      </c>
      <c r="B27" s="3" t="s">
        <v>29</v>
      </c>
      <c r="C27" s="4">
        <v>522</v>
      </c>
      <c r="D27" s="2">
        <v>1</v>
      </c>
      <c r="E27" s="4">
        <v>0</v>
      </c>
      <c r="F27" s="5"/>
      <c r="G27" s="5"/>
      <c r="H27" s="5">
        <v>2</v>
      </c>
      <c r="I27" s="5">
        <v>2</v>
      </c>
      <c r="J27" s="5">
        <v>2</v>
      </c>
      <c r="K27" s="5">
        <v>2</v>
      </c>
      <c r="L27" s="5">
        <v>2</v>
      </c>
      <c r="M27" s="5">
        <v>2</v>
      </c>
      <c r="N27" s="5">
        <v>2</v>
      </c>
      <c r="O27" s="5">
        <v>2</v>
      </c>
      <c r="P27" s="5">
        <v>2</v>
      </c>
      <c r="Q27" s="5">
        <v>2</v>
      </c>
      <c r="R27" s="5">
        <v>2</v>
      </c>
      <c r="S27" s="5">
        <v>2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</row>
    <row r="28" spans="1:29" ht="15" customHeight="1">
      <c r="A28" s="2">
        <v>27</v>
      </c>
      <c r="B28" s="3" t="s">
        <v>29</v>
      </c>
      <c r="C28" s="4">
        <v>549</v>
      </c>
      <c r="D28" s="2">
        <v>1</v>
      </c>
      <c r="E28" s="4">
        <v>0</v>
      </c>
      <c r="F28" s="5"/>
      <c r="G28" s="5"/>
      <c r="H28" s="5">
        <v>2</v>
      </c>
      <c r="I28" s="5">
        <v>2</v>
      </c>
      <c r="J28" s="5">
        <v>2</v>
      </c>
      <c r="K28" s="5">
        <v>2</v>
      </c>
      <c r="L28" s="5">
        <v>2</v>
      </c>
      <c r="M28" s="5">
        <v>2</v>
      </c>
      <c r="N28" s="5">
        <v>2</v>
      </c>
      <c r="O28" s="5">
        <v>2</v>
      </c>
      <c r="P28" s="5">
        <v>2</v>
      </c>
      <c r="Q28" s="5">
        <v>2</v>
      </c>
      <c r="R28" s="5">
        <v>0</v>
      </c>
      <c r="S28" s="5">
        <v>0</v>
      </c>
      <c r="T28" s="5">
        <v>0</v>
      </c>
      <c r="U28" s="5" t="s">
        <v>30</v>
      </c>
      <c r="V28" s="5" t="s">
        <v>30</v>
      </c>
      <c r="W28" s="5" t="s">
        <v>30</v>
      </c>
      <c r="X28" s="5" t="s">
        <v>30</v>
      </c>
      <c r="Y28" s="5" t="s">
        <v>30</v>
      </c>
      <c r="Z28" s="5" t="s">
        <v>30</v>
      </c>
      <c r="AA28" s="5" t="s">
        <v>30</v>
      </c>
      <c r="AB28" s="5" t="s">
        <v>30</v>
      </c>
      <c r="AC28" s="5" t="s">
        <v>30</v>
      </c>
    </row>
    <row r="29" spans="1:29" ht="15" customHeight="1">
      <c r="A29" s="2">
        <v>28</v>
      </c>
      <c r="B29" s="3" t="s">
        <v>29</v>
      </c>
      <c r="C29" s="4">
        <v>549</v>
      </c>
      <c r="D29" s="2">
        <v>0</v>
      </c>
      <c r="E29" s="4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" customHeight="1">
      <c r="A30" s="2">
        <v>29</v>
      </c>
      <c r="B30" s="3" t="s">
        <v>31</v>
      </c>
      <c r="C30" s="4">
        <v>482</v>
      </c>
      <c r="D30" s="2">
        <v>1</v>
      </c>
      <c r="E30" s="4">
        <v>0</v>
      </c>
      <c r="F30" s="5"/>
      <c r="G30" s="5"/>
      <c r="H30" s="5">
        <v>2</v>
      </c>
      <c r="I30" s="5">
        <v>2</v>
      </c>
      <c r="J30" s="5">
        <v>2</v>
      </c>
      <c r="K30" s="5">
        <v>2</v>
      </c>
      <c r="L30" s="5">
        <v>2</v>
      </c>
      <c r="M30" s="5">
        <v>2</v>
      </c>
      <c r="N30" s="5">
        <v>2</v>
      </c>
      <c r="O30" s="5">
        <v>2</v>
      </c>
      <c r="P30" s="5">
        <v>2</v>
      </c>
      <c r="Q30" s="5">
        <v>2</v>
      </c>
      <c r="R30" s="5">
        <v>2</v>
      </c>
      <c r="S30" s="5">
        <v>2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</row>
    <row r="31" spans="1:29" ht="15" customHeight="1">
      <c r="A31" s="2">
        <v>30</v>
      </c>
      <c r="B31" s="3" t="s">
        <v>32</v>
      </c>
      <c r="C31" s="4">
        <v>347</v>
      </c>
      <c r="D31" s="2">
        <v>1</v>
      </c>
      <c r="E31" s="4">
        <v>5287</v>
      </c>
      <c r="F31" s="5"/>
      <c r="G31" s="5"/>
      <c r="H31" s="5" t="s">
        <v>30</v>
      </c>
      <c r="I31" s="5" t="s">
        <v>30</v>
      </c>
      <c r="J31" s="5" t="s">
        <v>30</v>
      </c>
      <c r="K31" s="5" t="s">
        <v>30</v>
      </c>
      <c r="L31" s="5" t="s">
        <v>30</v>
      </c>
      <c r="M31" s="5" t="s">
        <v>30</v>
      </c>
      <c r="N31" s="5" t="s">
        <v>30</v>
      </c>
      <c r="O31" s="5" t="s">
        <v>30</v>
      </c>
      <c r="P31" s="5" t="s">
        <v>30</v>
      </c>
      <c r="Q31" s="5" t="s">
        <v>30</v>
      </c>
      <c r="R31" s="5">
        <v>0</v>
      </c>
      <c r="S31" s="5">
        <v>0</v>
      </c>
      <c r="T31" s="5">
        <v>0</v>
      </c>
      <c r="U31" s="5" t="s">
        <v>30</v>
      </c>
      <c r="V31" s="5" t="s">
        <v>30</v>
      </c>
      <c r="W31" s="5" t="s">
        <v>30</v>
      </c>
      <c r="X31" s="5" t="s">
        <v>30</v>
      </c>
      <c r="Y31" s="5" t="s">
        <v>30</v>
      </c>
      <c r="Z31" s="5" t="s">
        <v>30</v>
      </c>
      <c r="AA31" s="5" t="s">
        <v>30</v>
      </c>
      <c r="AB31" s="5" t="s">
        <v>30</v>
      </c>
      <c r="AC31" s="5" t="s">
        <v>30</v>
      </c>
    </row>
    <row r="32" spans="1:29" ht="15" customHeight="1">
      <c r="A32" s="2">
        <v>31</v>
      </c>
      <c r="B32" s="3" t="s">
        <v>32</v>
      </c>
      <c r="C32" s="4">
        <v>347</v>
      </c>
      <c r="D32" s="2">
        <v>1</v>
      </c>
      <c r="E32" s="4">
        <v>0</v>
      </c>
      <c r="F32" s="5"/>
      <c r="G32" s="5"/>
      <c r="H32" s="5">
        <v>2</v>
      </c>
      <c r="I32" s="5">
        <v>2</v>
      </c>
      <c r="J32" s="5">
        <v>2</v>
      </c>
      <c r="K32" s="5">
        <v>2</v>
      </c>
      <c r="L32" s="5">
        <v>2</v>
      </c>
      <c r="M32" s="5">
        <v>2</v>
      </c>
      <c r="N32" s="5">
        <v>2</v>
      </c>
      <c r="O32" s="5">
        <v>2</v>
      </c>
      <c r="P32" s="5">
        <v>2</v>
      </c>
      <c r="Q32" s="5">
        <v>2</v>
      </c>
      <c r="R32" s="5">
        <v>2</v>
      </c>
      <c r="S32" s="5">
        <v>2</v>
      </c>
      <c r="T32" s="5">
        <v>0</v>
      </c>
      <c r="U32" s="5" t="s">
        <v>30</v>
      </c>
      <c r="V32" s="5" t="s">
        <v>30</v>
      </c>
      <c r="W32" s="5" t="s">
        <v>30</v>
      </c>
      <c r="X32" s="5" t="s">
        <v>30</v>
      </c>
      <c r="Y32" s="5" t="s">
        <v>30</v>
      </c>
      <c r="Z32" s="5" t="s">
        <v>30</v>
      </c>
      <c r="AA32" s="5" t="s">
        <v>30</v>
      </c>
      <c r="AB32" s="5" t="s">
        <v>30</v>
      </c>
      <c r="AC32" s="5" t="s">
        <v>30</v>
      </c>
    </row>
    <row r="33" spans="1:29" ht="15" customHeight="1">
      <c r="A33" s="2">
        <v>32</v>
      </c>
      <c r="B33" s="3" t="s">
        <v>29</v>
      </c>
      <c r="C33" s="4">
        <v>522</v>
      </c>
      <c r="D33" s="2">
        <v>1</v>
      </c>
      <c r="E33" s="4">
        <v>0</v>
      </c>
      <c r="F33" s="5"/>
      <c r="G33" s="5"/>
      <c r="H33" s="5">
        <v>2</v>
      </c>
      <c r="I33" s="5">
        <v>2</v>
      </c>
      <c r="J33" s="5">
        <v>2</v>
      </c>
      <c r="K33" s="5">
        <v>2</v>
      </c>
      <c r="L33" s="5">
        <v>2</v>
      </c>
      <c r="M33" s="5">
        <v>2</v>
      </c>
      <c r="N33" s="5">
        <v>2</v>
      </c>
      <c r="O33" s="5">
        <v>2</v>
      </c>
      <c r="P33" s="5">
        <v>2</v>
      </c>
      <c r="Q33" s="5">
        <v>2</v>
      </c>
      <c r="R33" s="5">
        <v>2</v>
      </c>
      <c r="S33" s="5">
        <v>2</v>
      </c>
      <c r="T33" s="5">
        <v>0</v>
      </c>
      <c r="U33" s="5" t="s">
        <v>30</v>
      </c>
      <c r="V33" s="5" t="s">
        <v>30</v>
      </c>
      <c r="W33" s="5" t="s">
        <v>30</v>
      </c>
      <c r="X33" s="5" t="s">
        <v>30</v>
      </c>
      <c r="Y33" s="5" t="s">
        <v>30</v>
      </c>
      <c r="Z33" s="5" t="s">
        <v>30</v>
      </c>
      <c r="AA33" s="5" t="s">
        <v>30</v>
      </c>
      <c r="AB33" s="5" t="s">
        <v>30</v>
      </c>
      <c r="AC33" s="5" t="s">
        <v>30</v>
      </c>
    </row>
    <row r="34" spans="1:29" ht="15" customHeight="1">
      <c r="A34" s="2">
        <v>33</v>
      </c>
      <c r="B34" s="3" t="s">
        <v>29</v>
      </c>
      <c r="C34" s="4">
        <v>549</v>
      </c>
      <c r="D34" s="2">
        <v>1</v>
      </c>
      <c r="E34" s="4">
        <v>0</v>
      </c>
      <c r="F34" s="5"/>
      <c r="G34" s="5"/>
      <c r="H34" s="5">
        <v>2</v>
      </c>
      <c r="I34" s="5">
        <v>2</v>
      </c>
      <c r="J34" s="5">
        <v>2</v>
      </c>
      <c r="K34" s="5">
        <v>2</v>
      </c>
      <c r="L34" s="5">
        <v>2</v>
      </c>
      <c r="M34" s="5">
        <v>2</v>
      </c>
      <c r="N34" s="5">
        <v>2</v>
      </c>
      <c r="O34" s="5">
        <v>2</v>
      </c>
      <c r="P34" s="5">
        <v>2</v>
      </c>
      <c r="Q34" s="5">
        <v>2</v>
      </c>
      <c r="R34" s="5">
        <v>2</v>
      </c>
      <c r="S34" s="5">
        <v>2</v>
      </c>
      <c r="T34" s="5">
        <v>0</v>
      </c>
      <c r="U34" s="5" t="s">
        <v>30</v>
      </c>
      <c r="V34" s="5" t="s">
        <v>30</v>
      </c>
      <c r="W34" s="5" t="s">
        <v>30</v>
      </c>
      <c r="X34" s="5" t="s">
        <v>30</v>
      </c>
      <c r="Y34" s="5" t="s">
        <v>30</v>
      </c>
      <c r="Z34" s="5" t="s">
        <v>30</v>
      </c>
      <c r="AA34" s="5" t="s">
        <v>30</v>
      </c>
      <c r="AB34" s="5" t="s">
        <v>30</v>
      </c>
      <c r="AC34" s="5" t="s">
        <v>30</v>
      </c>
    </row>
    <row r="35" spans="1:29" ht="15" customHeight="1">
      <c r="A35" s="2">
        <v>34</v>
      </c>
      <c r="B35" s="3" t="s">
        <v>29</v>
      </c>
      <c r="C35" s="4">
        <v>549</v>
      </c>
      <c r="D35" s="2">
        <v>1</v>
      </c>
      <c r="E35" s="4">
        <v>0</v>
      </c>
      <c r="F35" s="5"/>
      <c r="G35" s="5"/>
      <c r="H35" s="5">
        <v>2</v>
      </c>
      <c r="I35" s="5">
        <v>2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O35" s="5">
        <v>2</v>
      </c>
      <c r="P35" s="5">
        <v>2</v>
      </c>
      <c r="Q35" s="5">
        <v>2</v>
      </c>
      <c r="R35" s="5">
        <v>2</v>
      </c>
      <c r="S35" s="5">
        <v>2</v>
      </c>
      <c r="T35" s="5">
        <v>0</v>
      </c>
      <c r="U35" s="5" t="s">
        <v>30</v>
      </c>
      <c r="V35" s="5" t="s">
        <v>30</v>
      </c>
      <c r="W35" s="5" t="s">
        <v>30</v>
      </c>
      <c r="X35" s="5" t="s">
        <v>30</v>
      </c>
      <c r="Y35" s="5" t="s">
        <v>30</v>
      </c>
      <c r="Z35" s="5" t="s">
        <v>30</v>
      </c>
      <c r="AA35" s="5" t="s">
        <v>30</v>
      </c>
      <c r="AB35" s="5" t="s">
        <v>30</v>
      </c>
      <c r="AC35" s="5" t="s">
        <v>30</v>
      </c>
    </row>
    <row r="36" spans="1:29" ht="15" customHeight="1">
      <c r="A36" s="2">
        <v>35</v>
      </c>
      <c r="B36" s="3" t="s">
        <v>31</v>
      </c>
      <c r="C36" s="4">
        <v>482</v>
      </c>
      <c r="D36" s="2">
        <v>0</v>
      </c>
      <c r="E36" s="4">
        <v>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" customHeight="1">
      <c r="A37" s="2">
        <v>36</v>
      </c>
      <c r="B37" s="3" t="s">
        <v>32</v>
      </c>
      <c r="C37" s="4">
        <v>347</v>
      </c>
      <c r="D37" s="2">
        <v>1</v>
      </c>
      <c r="E37" s="4">
        <v>0</v>
      </c>
      <c r="F37" s="5"/>
      <c r="G37" s="5"/>
      <c r="H37" s="5">
        <v>2</v>
      </c>
      <c r="I37" s="5">
        <v>2</v>
      </c>
      <c r="J37" s="5">
        <v>2</v>
      </c>
      <c r="K37" s="5">
        <v>2</v>
      </c>
      <c r="L37" s="5">
        <v>2</v>
      </c>
      <c r="M37" s="5">
        <v>2</v>
      </c>
      <c r="N37" s="5">
        <v>2</v>
      </c>
      <c r="O37" s="5">
        <v>2</v>
      </c>
      <c r="P37" s="5">
        <v>2</v>
      </c>
      <c r="Q37" s="5">
        <v>2</v>
      </c>
      <c r="R37" s="5">
        <v>2</v>
      </c>
      <c r="S37" s="5">
        <v>2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</row>
    <row r="38" spans="1:29" ht="15" customHeight="1">
      <c r="A38" s="2">
        <v>37</v>
      </c>
      <c r="B38" s="3" t="s">
        <v>32</v>
      </c>
      <c r="C38" s="4">
        <v>347</v>
      </c>
      <c r="D38" s="2">
        <v>1</v>
      </c>
      <c r="E38" s="4">
        <v>0</v>
      </c>
      <c r="F38" s="5"/>
      <c r="G38" s="5"/>
      <c r="H38" s="5">
        <v>2</v>
      </c>
      <c r="I38" s="5">
        <v>2</v>
      </c>
      <c r="J38" s="5">
        <v>2</v>
      </c>
      <c r="K38" s="5">
        <v>2</v>
      </c>
      <c r="L38" s="5">
        <v>2</v>
      </c>
      <c r="M38" s="5">
        <v>2</v>
      </c>
      <c r="N38" s="5">
        <v>2</v>
      </c>
      <c r="O38" s="5">
        <v>2</v>
      </c>
      <c r="P38" s="5">
        <v>2</v>
      </c>
      <c r="Q38" s="5">
        <v>2</v>
      </c>
      <c r="R38" s="5">
        <v>2</v>
      </c>
      <c r="S38" s="5">
        <v>2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</row>
    <row r="39" spans="1:29" ht="15" customHeight="1">
      <c r="A39" s="2">
        <v>38</v>
      </c>
      <c r="B39" s="3" t="s">
        <v>29</v>
      </c>
      <c r="C39" s="4">
        <v>522</v>
      </c>
      <c r="D39" s="2">
        <v>1</v>
      </c>
      <c r="E39" s="4">
        <v>522</v>
      </c>
      <c r="F39" s="5"/>
      <c r="G39" s="5"/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1</v>
      </c>
      <c r="R39" s="5">
        <v>0</v>
      </c>
      <c r="S39" s="5">
        <v>0</v>
      </c>
      <c r="T39" s="5">
        <v>0</v>
      </c>
      <c r="U39" s="5" t="s">
        <v>30</v>
      </c>
      <c r="V39" s="5" t="s">
        <v>30</v>
      </c>
      <c r="W39" s="5" t="s">
        <v>30</v>
      </c>
      <c r="X39" s="5" t="s">
        <v>30</v>
      </c>
      <c r="Y39" s="5" t="s">
        <v>30</v>
      </c>
      <c r="Z39" s="5" t="s">
        <v>30</v>
      </c>
      <c r="AA39" s="5" t="s">
        <v>30</v>
      </c>
      <c r="AB39" s="5" t="s">
        <v>30</v>
      </c>
      <c r="AC39" s="5" t="s">
        <v>30</v>
      </c>
    </row>
    <row r="40" spans="1:29" ht="15" customHeight="1">
      <c r="A40" s="2">
        <v>39</v>
      </c>
      <c r="B40" s="3" t="s">
        <v>29</v>
      </c>
      <c r="C40" s="4">
        <v>549</v>
      </c>
      <c r="D40" s="2">
        <v>1</v>
      </c>
      <c r="E40" s="4">
        <v>0</v>
      </c>
      <c r="F40" s="5"/>
      <c r="G40" s="5"/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0</v>
      </c>
      <c r="S40" s="5">
        <v>0</v>
      </c>
      <c r="T40" s="5">
        <v>0</v>
      </c>
      <c r="U40" s="5" t="s">
        <v>30</v>
      </c>
      <c r="V40" s="5" t="s">
        <v>30</v>
      </c>
      <c r="W40" s="5" t="s">
        <v>30</v>
      </c>
      <c r="X40" s="5" t="s">
        <v>30</v>
      </c>
      <c r="Y40" s="5" t="s">
        <v>30</v>
      </c>
      <c r="Z40" s="5" t="s">
        <v>30</v>
      </c>
      <c r="AA40" s="5" t="s">
        <v>30</v>
      </c>
      <c r="AB40" s="5" t="s">
        <v>30</v>
      </c>
      <c r="AC40" s="5" t="s">
        <v>30</v>
      </c>
    </row>
    <row r="41" spans="1:29" ht="15" customHeight="1">
      <c r="A41" s="2">
        <v>40</v>
      </c>
      <c r="B41" s="3" t="s">
        <v>29</v>
      </c>
      <c r="C41" s="4">
        <v>549</v>
      </c>
      <c r="D41" s="2">
        <v>1</v>
      </c>
      <c r="E41" s="4">
        <v>0</v>
      </c>
      <c r="F41" s="5"/>
      <c r="G41" s="5"/>
      <c r="H41" s="5">
        <v>2</v>
      </c>
      <c r="I41" s="5">
        <v>2</v>
      </c>
      <c r="J41" s="5">
        <v>2</v>
      </c>
      <c r="K41" s="5">
        <v>2</v>
      </c>
      <c r="L41" s="5">
        <v>2</v>
      </c>
      <c r="M41" s="5">
        <v>2</v>
      </c>
      <c r="N41" s="5">
        <v>2</v>
      </c>
      <c r="O41" s="5">
        <v>2</v>
      </c>
      <c r="P41" s="5">
        <v>2</v>
      </c>
      <c r="Q41" s="5">
        <v>2</v>
      </c>
      <c r="R41" s="5">
        <v>2</v>
      </c>
      <c r="S41" s="5">
        <v>2</v>
      </c>
      <c r="T41" s="5">
        <v>0</v>
      </c>
      <c r="U41" s="5" t="s">
        <v>30</v>
      </c>
      <c r="V41" s="5" t="s">
        <v>30</v>
      </c>
      <c r="W41" s="5" t="s">
        <v>30</v>
      </c>
      <c r="X41" s="5" t="s">
        <v>30</v>
      </c>
      <c r="Y41" s="5" t="s">
        <v>30</v>
      </c>
      <c r="Z41" s="5" t="s">
        <v>30</v>
      </c>
      <c r="AA41" s="5" t="s">
        <v>30</v>
      </c>
      <c r="AB41" s="5" t="s">
        <v>30</v>
      </c>
      <c r="AC41" s="5" t="s">
        <v>30</v>
      </c>
    </row>
    <row r="42" spans="1:29" ht="15" customHeight="1">
      <c r="A42" s="2">
        <v>41</v>
      </c>
      <c r="B42" s="3" t="s">
        <v>31</v>
      </c>
      <c r="C42" s="4">
        <v>482</v>
      </c>
      <c r="D42" s="2">
        <v>1</v>
      </c>
      <c r="E42" s="4">
        <v>0</v>
      </c>
      <c r="F42" s="5"/>
      <c r="G42" s="5"/>
      <c r="H42" s="5">
        <v>2</v>
      </c>
      <c r="I42" s="5">
        <v>2</v>
      </c>
      <c r="J42" s="5">
        <v>2</v>
      </c>
      <c r="K42" s="5">
        <v>2</v>
      </c>
      <c r="L42" s="5">
        <v>2</v>
      </c>
      <c r="M42" s="5">
        <v>2</v>
      </c>
      <c r="N42" s="5">
        <v>2</v>
      </c>
      <c r="O42" s="5">
        <v>2</v>
      </c>
      <c r="P42" s="5">
        <v>2</v>
      </c>
      <c r="Q42" s="5">
        <v>2</v>
      </c>
      <c r="R42" s="5">
        <v>2</v>
      </c>
      <c r="S42" s="5">
        <v>2</v>
      </c>
      <c r="T42" s="5">
        <v>0</v>
      </c>
      <c r="U42" s="5" t="s">
        <v>30</v>
      </c>
      <c r="V42" s="5" t="s">
        <v>30</v>
      </c>
      <c r="W42" s="5" t="s">
        <v>30</v>
      </c>
      <c r="X42" s="5" t="s">
        <v>30</v>
      </c>
      <c r="Y42" s="5" t="s">
        <v>30</v>
      </c>
      <c r="Z42" s="5" t="s">
        <v>30</v>
      </c>
      <c r="AA42" s="5" t="s">
        <v>30</v>
      </c>
      <c r="AB42" s="5" t="s">
        <v>30</v>
      </c>
      <c r="AC42" s="5" t="s">
        <v>30</v>
      </c>
    </row>
    <row r="43" spans="1:29" ht="15" customHeight="1">
      <c r="A43" s="2">
        <v>42</v>
      </c>
      <c r="B43" s="3" t="s">
        <v>32</v>
      </c>
      <c r="C43" s="4">
        <v>347</v>
      </c>
      <c r="D43" s="2">
        <v>1</v>
      </c>
      <c r="E43" s="4">
        <v>0</v>
      </c>
      <c r="F43" s="5"/>
      <c r="G43" s="5"/>
      <c r="H43" s="5">
        <v>2</v>
      </c>
      <c r="I43" s="5">
        <v>2</v>
      </c>
      <c r="J43" s="5">
        <v>2</v>
      </c>
      <c r="K43" s="5">
        <v>2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  <c r="T43" s="5">
        <v>0</v>
      </c>
      <c r="U43" s="5" t="s">
        <v>30</v>
      </c>
      <c r="V43" s="5" t="s">
        <v>30</v>
      </c>
      <c r="W43" s="5" t="s">
        <v>30</v>
      </c>
      <c r="X43" s="5" t="s">
        <v>30</v>
      </c>
      <c r="Y43" s="5" t="s">
        <v>30</v>
      </c>
      <c r="Z43" s="5" t="s">
        <v>30</v>
      </c>
      <c r="AA43" s="5" t="s">
        <v>30</v>
      </c>
      <c r="AB43" s="5" t="s">
        <v>30</v>
      </c>
      <c r="AC43" s="5" t="s">
        <v>30</v>
      </c>
    </row>
    <row r="44" spans="1:29" ht="15" customHeight="1">
      <c r="A44" s="2">
        <v>43</v>
      </c>
      <c r="B44" s="3" t="s">
        <v>32</v>
      </c>
      <c r="C44" s="4">
        <v>347</v>
      </c>
      <c r="D44" s="2">
        <v>1</v>
      </c>
      <c r="E44" s="4">
        <v>0</v>
      </c>
      <c r="F44" s="5"/>
      <c r="G44" s="5"/>
      <c r="H44" s="5">
        <v>2</v>
      </c>
      <c r="I44" s="5">
        <v>2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2</v>
      </c>
      <c r="Q44" s="5">
        <v>2</v>
      </c>
      <c r="R44" s="5">
        <v>2</v>
      </c>
      <c r="S44" s="5">
        <v>2</v>
      </c>
      <c r="T44" s="5">
        <v>0</v>
      </c>
      <c r="U44" s="5" t="s">
        <v>30</v>
      </c>
      <c r="V44" s="5" t="s">
        <v>30</v>
      </c>
      <c r="W44" s="5" t="s">
        <v>30</v>
      </c>
      <c r="X44" s="5" t="s">
        <v>30</v>
      </c>
      <c r="Y44" s="5" t="s">
        <v>30</v>
      </c>
      <c r="Z44" s="5" t="s">
        <v>30</v>
      </c>
      <c r="AA44" s="5" t="s">
        <v>30</v>
      </c>
      <c r="AB44" s="5" t="s">
        <v>30</v>
      </c>
      <c r="AC44" s="5" t="s">
        <v>30</v>
      </c>
    </row>
    <row r="45" spans="1:29" ht="15" customHeight="1">
      <c r="A45" s="2">
        <v>44</v>
      </c>
      <c r="B45" s="3" t="s">
        <v>29</v>
      </c>
      <c r="C45" s="4">
        <v>522</v>
      </c>
      <c r="D45" s="2">
        <v>1</v>
      </c>
      <c r="E45" s="4">
        <v>0</v>
      </c>
      <c r="F45" s="5"/>
      <c r="G45" s="5"/>
      <c r="H45" s="5">
        <v>2</v>
      </c>
      <c r="I45" s="5">
        <v>2</v>
      </c>
      <c r="J45" s="5">
        <v>2</v>
      </c>
      <c r="K45" s="5">
        <v>2</v>
      </c>
      <c r="L45" s="5">
        <v>2</v>
      </c>
      <c r="M45" s="5">
        <v>2</v>
      </c>
      <c r="N45" s="5">
        <v>2</v>
      </c>
      <c r="O45" s="5">
        <v>2</v>
      </c>
      <c r="P45" s="5">
        <v>2</v>
      </c>
      <c r="Q45" s="5">
        <v>2</v>
      </c>
      <c r="R45" s="5">
        <v>2</v>
      </c>
      <c r="S45" s="5">
        <v>2</v>
      </c>
      <c r="T45" s="5">
        <v>0</v>
      </c>
      <c r="U45" s="5" t="s">
        <v>30</v>
      </c>
      <c r="V45" s="5" t="s">
        <v>30</v>
      </c>
      <c r="W45" s="5" t="s">
        <v>30</v>
      </c>
      <c r="X45" s="5" t="s">
        <v>30</v>
      </c>
      <c r="Y45" s="5" t="s">
        <v>30</v>
      </c>
      <c r="Z45" s="5" t="s">
        <v>30</v>
      </c>
      <c r="AA45" s="5" t="s">
        <v>30</v>
      </c>
      <c r="AB45" s="5" t="s">
        <v>30</v>
      </c>
      <c r="AC45" s="5" t="s">
        <v>30</v>
      </c>
    </row>
    <row r="46" spans="1:29" ht="15" customHeight="1">
      <c r="A46" s="2">
        <v>45</v>
      </c>
      <c r="B46" s="3" t="s">
        <v>29</v>
      </c>
      <c r="C46" s="4">
        <v>549</v>
      </c>
      <c r="D46" s="2">
        <v>1</v>
      </c>
      <c r="E46" s="4">
        <v>0</v>
      </c>
      <c r="F46" s="5"/>
      <c r="G46" s="5"/>
      <c r="H46" s="5">
        <v>2</v>
      </c>
      <c r="I46" s="5">
        <v>2</v>
      </c>
      <c r="J46" s="5">
        <v>2</v>
      </c>
      <c r="K46" s="5">
        <v>2</v>
      </c>
      <c r="L46" s="5">
        <v>2</v>
      </c>
      <c r="M46" s="5">
        <v>2</v>
      </c>
      <c r="N46" s="5">
        <v>2</v>
      </c>
      <c r="O46" s="5">
        <v>2</v>
      </c>
      <c r="P46" s="5">
        <v>2</v>
      </c>
      <c r="Q46" s="5">
        <v>2</v>
      </c>
      <c r="R46" s="5">
        <v>2</v>
      </c>
      <c r="S46" s="5">
        <v>2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</row>
    <row r="47" spans="1:29" ht="15" customHeight="1">
      <c r="A47" s="2">
        <v>46</v>
      </c>
      <c r="B47" s="3" t="s">
        <v>29</v>
      </c>
      <c r="C47" s="4">
        <v>549</v>
      </c>
      <c r="D47" s="2">
        <v>1</v>
      </c>
      <c r="E47" s="4">
        <v>0</v>
      </c>
      <c r="F47" s="5"/>
      <c r="G47" s="5"/>
      <c r="H47" s="5">
        <v>2</v>
      </c>
      <c r="I47" s="5">
        <v>2</v>
      </c>
      <c r="J47" s="5">
        <v>2</v>
      </c>
      <c r="K47" s="5">
        <v>2</v>
      </c>
      <c r="L47" s="5">
        <v>2</v>
      </c>
      <c r="M47" s="5">
        <v>2</v>
      </c>
      <c r="N47" s="5">
        <v>2</v>
      </c>
      <c r="O47" s="5">
        <v>2</v>
      </c>
      <c r="P47" s="5">
        <v>2</v>
      </c>
      <c r="Q47" s="5">
        <v>2</v>
      </c>
      <c r="R47" s="5">
        <v>2</v>
      </c>
      <c r="S47" s="5">
        <v>2</v>
      </c>
      <c r="T47" s="5">
        <v>0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  <c r="AA47" s="5" t="s">
        <v>30</v>
      </c>
      <c r="AB47" s="5" t="s">
        <v>30</v>
      </c>
      <c r="AC47" s="5" t="s">
        <v>30</v>
      </c>
    </row>
    <row r="48" spans="1:29" ht="15" customHeight="1">
      <c r="A48" s="2">
        <v>47</v>
      </c>
      <c r="B48" s="3" t="s">
        <v>31</v>
      </c>
      <c r="C48" s="4">
        <v>482</v>
      </c>
      <c r="D48" s="2">
        <v>1</v>
      </c>
      <c r="E48" s="4">
        <v>0</v>
      </c>
      <c r="F48" s="5"/>
      <c r="G48" s="5"/>
      <c r="H48" s="5">
        <v>2</v>
      </c>
      <c r="I48" s="5">
        <v>2</v>
      </c>
      <c r="J48" s="5">
        <v>2</v>
      </c>
      <c r="K48" s="5">
        <v>2</v>
      </c>
      <c r="L48" s="5">
        <v>2</v>
      </c>
      <c r="M48" s="5">
        <v>2</v>
      </c>
      <c r="N48" s="5">
        <v>2</v>
      </c>
      <c r="O48" s="5">
        <v>2</v>
      </c>
      <c r="P48" s="5">
        <v>2</v>
      </c>
      <c r="Q48" s="5">
        <v>2</v>
      </c>
      <c r="R48" s="5">
        <v>2</v>
      </c>
      <c r="S48" s="5">
        <v>2</v>
      </c>
      <c r="T48" s="5">
        <v>2</v>
      </c>
      <c r="U48" s="5" t="s">
        <v>30</v>
      </c>
      <c r="V48" s="5" t="s">
        <v>30</v>
      </c>
      <c r="W48" s="5" t="s">
        <v>30</v>
      </c>
      <c r="X48" s="5" t="s">
        <v>30</v>
      </c>
      <c r="Y48" s="5" t="s">
        <v>30</v>
      </c>
      <c r="Z48" s="5" t="s">
        <v>30</v>
      </c>
      <c r="AA48" s="5" t="s">
        <v>30</v>
      </c>
      <c r="AB48" s="5" t="s">
        <v>30</v>
      </c>
      <c r="AC48" s="5" t="s">
        <v>30</v>
      </c>
    </row>
    <row r="49" spans="1:29" ht="15" customHeight="1">
      <c r="A49" s="2">
        <v>48</v>
      </c>
      <c r="B49" s="3" t="s">
        <v>32</v>
      </c>
      <c r="C49" s="4">
        <v>347</v>
      </c>
      <c r="D49" s="2">
        <v>1</v>
      </c>
      <c r="E49" s="4">
        <v>694</v>
      </c>
      <c r="F49" s="5"/>
      <c r="G49" s="5"/>
      <c r="H49" s="5">
        <v>2</v>
      </c>
      <c r="I49" s="5">
        <v>2</v>
      </c>
      <c r="J49" s="5">
        <v>2</v>
      </c>
      <c r="K49" s="5">
        <v>2</v>
      </c>
      <c r="L49" s="5">
        <v>2</v>
      </c>
      <c r="M49" s="5">
        <v>2</v>
      </c>
      <c r="N49" s="5">
        <v>2</v>
      </c>
      <c r="O49" s="5">
        <v>2</v>
      </c>
      <c r="P49" s="5" t="s">
        <v>30</v>
      </c>
      <c r="Q49" s="5" t="s">
        <v>30</v>
      </c>
      <c r="R49" s="5">
        <v>0</v>
      </c>
      <c r="S49" s="5">
        <v>0</v>
      </c>
      <c r="T49" s="5">
        <v>0</v>
      </c>
      <c r="U49" s="5" t="s">
        <v>30</v>
      </c>
      <c r="V49" s="5" t="s">
        <v>30</v>
      </c>
      <c r="W49" s="5" t="s">
        <v>30</v>
      </c>
      <c r="X49" s="5" t="s">
        <v>30</v>
      </c>
      <c r="Y49" s="5" t="s">
        <v>30</v>
      </c>
      <c r="Z49" s="5" t="s">
        <v>30</v>
      </c>
      <c r="AA49" s="5" t="s">
        <v>30</v>
      </c>
      <c r="AB49" s="5" t="s">
        <v>30</v>
      </c>
      <c r="AC49" s="5" t="s">
        <v>30</v>
      </c>
    </row>
    <row r="50" spans="1:29" ht="15" customHeight="1">
      <c r="A50" s="2">
        <v>49</v>
      </c>
      <c r="B50" s="3" t="s">
        <v>32</v>
      </c>
      <c r="C50" s="4">
        <v>347</v>
      </c>
      <c r="D50" s="2">
        <v>1</v>
      </c>
      <c r="E50" s="4">
        <v>0</v>
      </c>
      <c r="F50" s="5"/>
      <c r="G50" s="5"/>
      <c r="H50" s="5">
        <v>2</v>
      </c>
      <c r="I50" s="5">
        <v>2</v>
      </c>
      <c r="J50" s="5">
        <v>2</v>
      </c>
      <c r="K50" s="5">
        <v>2</v>
      </c>
      <c r="L50" s="5">
        <v>2</v>
      </c>
      <c r="M50" s="5">
        <v>2</v>
      </c>
      <c r="N50" s="5">
        <v>2</v>
      </c>
      <c r="O50" s="5">
        <v>2</v>
      </c>
      <c r="P50" s="5">
        <v>2</v>
      </c>
      <c r="Q50" s="5">
        <v>2</v>
      </c>
      <c r="R50" s="5">
        <v>0</v>
      </c>
      <c r="S50" s="5">
        <v>0</v>
      </c>
      <c r="T50" s="5">
        <v>0</v>
      </c>
      <c r="U50" s="5" t="s">
        <v>30</v>
      </c>
      <c r="V50" s="5" t="s">
        <v>30</v>
      </c>
      <c r="W50" s="5" t="s">
        <v>30</v>
      </c>
      <c r="X50" s="5" t="s">
        <v>30</v>
      </c>
      <c r="Y50" s="5" t="s">
        <v>30</v>
      </c>
      <c r="Z50" s="5" t="s">
        <v>30</v>
      </c>
      <c r="AA50" s="5" t="s">
        <v>30</v>
      </c>
      <c r="AB50" s="5" t="s">
        <v>30</v>
      </c>
      <c r="AC50" s="5" t="s">
        <v>30</v>
      </c>
    </row>
    <row r="51" spans="1:29" ht="15" customHeight="1">
      <c r="A51" s="2">
        <v>50</v>
      </c>
      <c r="B51" s="3" t="s">
        <v>29</v>
      </c>
      <c r="C51" s="4">
        <v>522</v>
      </c>
      <c r="D51" s="2">
        <v>1</v>
      </c>
      <c r="E51" s="4">
        <v>0</v>
      </c>
      <c r="F51" s="5"/>
      <c r="G51" s="5"/>
      <c r="H51" s="5">
        <v>2</v>
      </c>
      <c r="I51" s="5">
        <v>2</v>
      </c>
      <c r="J51" s="5">
        <v>2</v>
      </c>
      <c r="K51" s="5">
        <v>2</v>
      </c>
      <c r="L51" s="5">
        <v>2</v>
      </c>
      <c r="M51" s="5">
        <v>2</v>
      </c>
      <c r="N51" s="5">
        <v>2</v>
      </c>
      <c r="O51" s="5">
        <v>2</v>
      </c>
      <c r="P51" s="5">
        <v>2</v>
      </c>
      <c r="Q51" s="5">
        <v>2</v>
      </c>
      <c r="R51" s="5">
        <v>2</v>
      </c>
      <c r="S51" s="5">
        <v>2</v>
      </c>
      <c r="T51" s="5">
        <v>0</v>
      </c>
      <c r="U51" s="5" t="s">
        <v>30</v>
      </c>
      <c r="V51" s="5" t="s">
        <v>30</v>
      </c>
      <c r="W51" s="5" t="s">
        <v>30</v>
      </c>
      <c r="X51" s="5" t="s">
        <v>30</v>
      </c>
      <c r="Y51" s="5" t="s">
        <v>30</v>
      </c>
      <c r="Z51" s="5" t="s">
        <v>30</v>
      </c>
      <c r="AA51" s="5" t="s">
        <v>30</v>
      </c>
      <c r="AB51" s="5" t="s">
        <v>30</v>
      </c>
      <c r="AC51" s="5" t="s">
        <v>30</v>
      </c>
    </row>
    <row r="52" spans="1:29" ht="15" customHeight="1">
      <c r="A52" s="2">
        <v>51</v>
      </c>
      <c r="B52" s="3" t="s">
        <v>29</v>
      </c>
      <c r="C52" s="4">
        <v>549</v>
      </c>
      <c r="D52" s="2">
        <v>1</v>
      </c>
      <c r="E52" s="4">
        <v>0</v>
      </c>
      <c r="F52" s="5"/>
      <c r="G52" s="5"/>
      <c r="H52" s="5">
        <v>2</v>
      </c>
      <c r="I52" s="5">
        <v>2</v>
      </c>
      <c r="J52" s="5">
        <v>2</v>
      </c>
      <c r="K52" s="5">
        <v>2</v>
      </c>
      <c r="L52" s="5">
        <v>2</v>
      </c>
      <c r="M52" s="5">
        <v>2</v>
      </c>
      <c r="N52" s="5">
        <v>2</v>
      </c>
      <c r="O52" s="5">
        <v>2</v>
      </c>
      <c r="P52" s="5">
        <v>2</v>
      </c>
      <c r="Q52" s="5">
        <v>2</v>
      </c>
      <c r="R52" s="5">
        <v>2</v>
      </c>
      <c r="S52" s="5">
        <v>2</v>
      </c>
      <c r="T52" s="5">
        <v>0</v>
      </c>
      <c r="U52" s="5" t="s">
        <v>30</v>
      </c>
      <c r="V52" s="5" t="s">
        <v>30</v>
      </c>
      <c r="W52" s="5" t="s">
        <v>30</v>
      </c>
      <c r="X52" s="5" t="s">
        <v>30</v>
      </c>
      <c r="Y52" s="5" t="s">
        <v>30</v>
      </c>
      <c r="Z52" s="5" t="s">
        <v>30</v>
      </c>
      <c r="AA52" s="5" t="s">
        <v>30</v>
      </c>
      <c r="AB52" s="5" t="s">
        <v>30</v>
      </c>
      <c r="AC52" s="5" t="s">
        <v>30</v>
      </c>
    </row>
    <row r="53" spans="1:29" ht="15" customHeight="1">
      <c r="A53" s="2">
        <v>52</v>
      </c>
      <c r="B53" s="3" t="s">
        <v>29</v>
      </c>
      <c r="C53" s="4">
        <v>549</v>
      </c>
      <c r="D53" s="2">
        <v>0</v>
      </c>
      <c r="E53" s="4">
        <v>0</v>
      </c>
      <c r="F53" s="5"/>
      <c r="G53" s="5"/>
      <c r="H53" s="5">
        <v>2</v>
      </c>
      <c r="I53" s="5">
        <v>2</v>
      </c>
      <c r="J53" s="5">
        <v>2</v>
      </c>
      <c r="K53" s="5">
        <v>2</v>
      </c>
      <c r="L53" s="5">
        <v>2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" customHeight="1">
      <c r="A54" s="2">
        <v>53</v>
      </c>
      <c r="B54" s="3" t="s">
        <v>31</v>
      </c>
      <c r="C54" s="4">
        <v>482</v>
      </c>
      <c r="D54" s="2">
        <v>1</v>
      </c>
      <c r="E54" s="4">
        <v>0</v>
      </c>
      <c r="F54" s="5"/>
      <c r="G54" s="5"/>
      <c r="H54" s="5">
        <v>2</v>
      </c>
      <c r="I54" s="5">
        <v>2</v>
      </c>
      <c r="J54" s="5">
        <v>2</v>
      </c>
      <c r="K54" s="5">
        <v>2</v>
      </c>
      <c r="L54" s="5">
        <v>2</v>
      </c>
      <c r="M54" s="5">
        <v>2</v>
      </c>
      <c r="N54" s="5">
        <v>2</v>
      </c>
      <c r="O54" s="5">
        <v>2</v>
      </c>
      <c r="P54" s="5">
        <v>2</v>
      </c>
      <c r="Q54" s="5">
        <v>2</v>
      </c>
      <c r="R54" s="5">
        <v>0</v>
      </c>
      <c r="S54" s="5">
        <v>0</v>
      </c>
      <c r="T54" s="5">
        <v>0</v>
      </c>
      <c r="U54" s="5" t="s">
        <v>30</v>
      </c>
      <c r="V54" s="5" t="s">
        <v>30</v>
      </c>
      <c r="W54" s="5" t="s">
        <v>30</v>
      </c>
      <c r="X54" s="5" t="s">
        <v>30</v>
      </c>
      <c r="Y54" s="5" t="s">
        <v>30</v>
      </c>
      <c r="Z54" s="5" t="s">
        <v>30</v>
      </c>
      <c r="AA54" s="5" t="s">
        <v>30</v>
      </c>
      <c r="AB54" s="5" t="s">
        <v>30</v>
      </c>
      <c r="AC54" s="5" t="s">
        <v>30</v>
      </c>
    </row>
    <row r="55" spans="1:29" ht="15" customHeight="1">
      <c r="A55" s="2">
        <v>54</v>
      </c>
      <c r="B55" s="3" t="s">
        <v>32</v>
      </c>
      <c r="C55" s="4">
        <v>347</v>
      </c>
      <c r="D55" s="2">
        <v>1</v>
      </c>
      <c r="E55" s="4">
        <v>0</v>
      </c>
      <c r="F55" s="5"/>
      <c r="G55" s="5"/>
      <c r="H55" s="5">
        <v>2</v>
      </c>
      <c r="I55" s="5">
        <v>2</v>
      </c>
      <c r="J55" s="5">
        <v>2</v>
      </c>
      <c r="K55" s="5">
        <v>2</v>
      </c>
      <c r="L55" s="5">
        <v>2</v>
      </c>
      <c r="M55" s="5">
        <v>2</v>
      </c>
      <c r="N55" s="5">
        <v>2</v>
      </c>
      <c r="O55" s="5">
        <v>2</v>
      </c>
      <c r="P55" s="5">
        <v>2</v>
      </c>
      <c r="Q55" s="5">
        <v>2</v>
      </c>
      <c r="R55" s="5">
        <v>1</v>
      </c>
      <c r="S55" s="5">
        <v>0</v>
      </c>
      <c r="T55" s="5">
        <v>0</v>
      </c>
      <c r="U55" s="5" t="s">
        <v>30</v>
      </c>
      <c r="V55" s="5" t="s">
        <v>30</v>
      </c>
      <c r="W55" s="5" t="s">
        <v>30</v>
      </c>
      <c r="X55" s="5" t="s">
        <v>30</v>
      </c>
      <c r="Y55" s="5" t="s">
        <v>30</v>
      </c>
      <c r="Z55" s="5" t="s">
        <v>30</v>
      </c>
      <c r="AA55" s="5" t="s">
        <v>30</v>
      </c>
      <c r="AB55" s="5" t="s">
        <v>30</v>
      </c>
      <c r="AC55" s="5" t="s">
        <v>30</v>
      </c>
    </row>
    <row r="56" spans="1:29" ht="15" customHeight="1">
      <c r="A56" s="2">
        <v>55</v>
      </c>
      <c r="B56" s="3" t="s">
        <v>32</v>
      </c>
      <c r="C56" s="4">
        <v>347</v>
      </c>
      <c r="D56" s="2">
        <v>1</v>
      </c>
      <c r="E56" s="4">
        <v>0</v>
      </c>
      <c r="F56" s="5"/>
      <c r="G56" s="5"/>
      <c r="H56" s="5">
        <v>2</v>
      </c>
      <c r="I56" s="5">
        <v>2</v>
      </c>
      <c r="J56" s="5">
        <v>2</v>
      </c>
      <c r="K56" s="5">
        <v>2</v>
      </c>
      <c r="L56" s="5">
        <v>2</v>
      </c>
      <c r="M56" s="5">
        <v>2</v>
      </c>
      <c r="N56" s="5">
        <v>2</v>
      </c>
      <c r="O56" s="5">
        <v>2</v>
      </c>
      <c r="P56" s="5">
        <v>2</v>
      </c>
      <c r="Q56" s="5">
        <v>2</v>
      </c>
      <c r="R56" s="5">
        <v>2</v>
      </c>
      <c r="S56" s="5">
        <v>2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</row>
    <row r="57" spans="1:29" ht="15" customHeight="1">
      <c r="A57" s="2">
        <v>56</v>
      </c>
      <c r="B57" s="3" t="s">
        <v>29</v>
      </c>
      <c r="C57" s="4">
        <v>522</v>
      </c>
      <c r="D57" s="2">
        <v>1</v>
      </c>
      <c r="E57" s="4">
        <v>0</v>
      </c>
      <c r="F57" s="5"/>
      <c r="G57" s="5"/>
      <c r="H57" s="5">
        <v>2</v>
      </c>
      <c r="I57" s="5">
        <v>2</v>
      </c>
      <c r="J57" s="5">
        <v>2</v>
      </c>
      <c r="K57" s="5">
        <v>2</v>
      </c>
      <c r="L57" s="5">
        <v>2</v>
      </c>
      <c r="M57" s="5">
        <v>2</v>
      </c>
      <c r="N57" s="5">
        <v>2</v>
      </c>
      <c r="O57" s="5">
        <v>2</v>
      </c>
      <c r="P57" s="5">
        <v>2</v>
      </c>
      <c r="Q57" s="5">
        <v>2</v>
      </c>
      <c r="R57" s="5">
        <v>2</v>
      </c>
      <c r="S57" s="5">
        <v>2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</row>
    <row r="58" spans="1:29" ht="15" customHeight="1">
      <c r="A58" s="2">
        <v>57</v>
      </c>
      <c r="B58" s="3" t="s">
        <v>29</v>
      </c>
      <c r="C58" s="4">
        <v>549</v>
      </c>
      <c r="D58" s="2">
        <v>1</v>
      </c>
      <c r="E58" s="4">
        <v>549</v>
      </c>
      <c r="F58" s="5"/>
      <c r="G58" s="5"/>
      <c r="H58" s="5">
        <v>2</v>
      </c>
      <c r="I58" s="5">
        <v>2</v>
      </c>
      <c r="J58" s="5">
        <v>2</v>
      </c>
      <c r="K58" s="5">
        <v>2</v>
      </c>
      <c r="L58" s="5">
        <v>2</v>
      </c>
      <c r="M58" s="5">
        <v>2</v>
      </c>
      <c r="N58" s="5">
        <v>2</v>
      </c>
      <c r="O58" s="5">
        <v>1</v>
      </c>
      <c r="P58" s="5">
        <v>2</v>
      </c>
      <c r="Q58" s="5">
        <v>2</v>
      </c>
      <c r="R58" s="5">
        <v>2</v>
      </c>
      <c r="S58" s="5">
        <v>2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</row>
    <row r="59" spans="1:29" ht="15" customHeight="1">
      <c r="A59" s="2">
        <v>58</v>
      </c>
      <c r="B59" s="3" t="s">
        <v>29</v>
      </c>
      <c r="C59" s="4">
        <v>549</v>
      </c>
      <c r="D59" s="2">
        <v>1</v>
      </c>
      <c r="E59" s="4">
        <v>0</v>
      </c>
      <c r="F59" s="5"/>
      <c r="G59" s="5"/>
      <c r="H59" s="5">
        <v>2</v>
      </c>
      <c r="I59" s="5">
        <v>2</v>
      </c>
      <c r="J59" s="5">
        <v>2</v>
      </c>
      <c r="K59" s="5">
        <v>2</v>
      </c>
      <c r="L59" s="5">
        <v>2</v>
      </c>
      <c r="M59" s="5">
        <v>2</v>
      </c>
      <c r="N59" s="5">
        <v>2</v>
      </c>
      <c r="O59" s="5">
        <v>2</v>
      </c>
      <c r="P59" s="5">
        <v>2</v>
      </c>
      <c r="Q59" s="5">
        <v>2</v>
      </c>
      <c r="R59" s="5">
        <v>2</v>
      </c>
      <c r="S59" s="5">
        <v>2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</row>
    <row r="60" spans="1:29" ht="15" customHeight="1">
      <c r="A60" s="2">
        <v>59</v>
      </c>
      <c r="B60" s="3" t="s">
        <v>31</v>
      </c>
      <c r="C60" s="4">
        <v>482</v>
      </c>
      <c r="D60" s="2">
        <v>1</v>
      </c>
      <c r="E60" s="4">
        <v>0</v>
      </c>
      <c r="F60" s="5"/>
      <c r="G60" s="5"/>
      <c r="H60" s="5">
        <v>2</v>
      </c>
      <c r="I60" s="5">
        <v>2</v>
      </c>
      <c r="J60" s="5">
        <v>2</v>
      </c>
      <c r="K60" s="5">
        <v>2</v>
      </c>
      <c r="L60" s="5">
        <v>2</v>
      </c>
      <c r="M60" s="5">
        <v>2</v>
      </c>
      <c r="N60" s="5">
        <v>2</v>
      </c>
      <c r="O60" s="5">
        <v>2</v>
      </c>
      <c r="P60" s="5">
        <v>2</v>
      </c>
      <c r="Q60" s="5">
        <v>2</v>
      </c>
      <c r="R60" s="5">
        <v>0</v>
      </c>
      <c r="S60" s="5">
        <v>0</v>
      </c>
      <c r="T60" s="5">
        <v>0</v>
      </c>
      <c r="U60" s="5" t="s">
        <v>30</v>
      </c>
      <c r="V60" s="5" t="s">
        <v>30</v>
      </c>
      <c r="W60" s="5" t="s">
        <v>30</v>
      </c>
      <c r="X60" s="5" t="s">
        <v>30</v>
      </c>
      <c r="Y60" s="5" t="s">
        <v>30</v>
      </c>
      <c r="Z60" s="5" t="s">
        <v>30</v>
      </c>
      <c r="AA60" s="5" t="s">
        <v>30</v>
      </c>
      <c r="AB60" s="5" t="s">
        <v>30</v>
      </c>
      <c r="AC60" s="5" t="s">
        <v>30</v>
      </c>
    </row>
    <row r="61" spans="1:29" ht="15" customHeight="1">
      <c r="A61" s="2">
        <v>60</v>
      </c>
      <c r="B61" s="3" t="s">
        <v>32</v>
      </c>
      <c r="C61" s="4">
        <v>347</v>
      </c>
      <c r="D61" s="2">
        <v>1</v>
      </c>
      <c r="E61" s="4">
        <v>347</v>
      </c>
      <c r="F61" s="5"/>
      <c r="G61" s="5"/>
      <c r="H61" s="5">
        <v>2</v>
      </c>
      <c r="I61" s="5">
        <v>2</v>
      </c>
      <c r="J61" s="5">
        <v>2</v>
      </c>
      <c r="K61" s="5">
        <v>2</v>
      </c>
      <c r="L61" s="5">
        <v>2</v>
      </c>
      <c r="M61" s="5">
        <v>2</v>
      </c>
      <c r="N61" s="5">
        <v>2</v>
      </c>
      <c r="O61" s="5">
        <v>2</v>
      </c>
      <c r="P61" s="5">
        <v>2</v>
      </c>
      <c r="Q61" s="5">
        <v>1</v>
      </c>
      <c r="R61" s="5">
        <v>2</v>
      </c>
      <c r="S61" s="5">
        <v>2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</row>
    <row r="62" spans="1:29" ht="15" customHeight="1">
      <c r="A62" s="2">
        <v>61</v>
      </c>
      <c r="B62" s="3" t="s">
        <v>32</v>
      </c>
      <c r="C62" s="4">
        <v>347</v>
      </c>
      <c r="D62" s="2">
        <v>1</v>
      </c>
      <c r="E62" s="4">
        <v>0</v>
      </c>
      <c r="F62" s="5"/>
      <c r="G62" s="5"/>
      <c r="H62" s="5">
        <v>2</v>
      </c>
      <c r="I62" s="5">
        <v>2</v>
      </c>
      <c r="J62" s="5">
        <v>2</v>
      </c>
      <c r="K62" s="5">
        <v>2</v>
      </c>
      <c r="L62" s="5">
        <v>2</v>
      </c>
      <c r="M62" s="5">
        <v>2</v>
      </c>
      <c r="N62" s="5">
        <v>2</v>
      </c>
      <c r="O62" s="5">
        <v>2</v>
      </c>
      <c r="P62" s="5">
        <v>2</v>
      </c>
      <c r="Q62" s="5">
        <v>2</v>
      </c>
      <c r="R62" s="5">
        <v>2</v>
      </c>
      <c r="S62" s="5">
        <v>2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</row>
    <row r="63" spans="1:29" ht="15" customHeight="1">
      <c r="A63" s="2">
        <v>62</v>
      </c>
      <c r="B63" s="3" t="s">
        <v>29</v>
      </c>
      <c r="C63" s="4">
        <v>522</v>
      </c>
      <c r="D63" s="2">
        <v>1</v>
      </c>
      <c r="E63" s="4">
        <v>522</v>
      </c>
      <c r="F63" s="5"/>
      <c r="G63" s="5"/>
      <c r="H63" s="5">
        <v>2</v>
      </c>
      <c r="I63" s="5">
        <v>2</v>
      </c>
      <c r="J63" s="5">
        <v>2</v>
      </c>
      <c r="K63" s="5">
        <v>2</v>
      </c>
      <c r="L63" s="5">
        <v>2</v>
      </c>
      <c r="M63" s="5">
        <v>2</v>
      </c>
      <c r="N63" s="5">
        <v>2</v>
      </c>
      <c r="O63" s="5">
        <v>2</v>
      </c>
      <c r="P63" s="5">
        <v>2</v>
      </c>
      <c r="Q63" s="5" t="s">
        <v>30</v>
      </c>
      <c r="R63" s="5">
        <v>2</v>
      </c>
      <c r="S63" s="5">
        <v>2</v>
      </c>
      <c r="T63" s="5">
        <v>0</v>
      </c>
      <c r="U63" s="5" t="s">
        <v>30</v>
      </c>
      <c r="V63" s="5" t="s">
        <v>30</v>
      </c>
      <c r="W63" s="5" t="s">
        <v>30</v>
      </c>
      <c r="X63" s="5" t="s">
        <v>30</v>
      </c>
      <c r="Y63" s="5" t="s">
        <v>30</v>
      </c>
      <c r="Z63" s="5" t="s">
        <v>30</v>
      </c>
      <c r="AA63" s="5" t="s">
        <v>30</v>
      </c>
      <c r="AB63" s="5" t="s">
        <v>30</v>
      </c>
      <c r="AC63" s="5" t="s">
        <v>30</v>
      </c>
    </row>
    <row r="64" spans="1:29" ht="15" customHeight="1">
      <c r="A64" s="2">
        <v>63</v>
      </c>
      <c r="B64" s="3" t="s">
        <v>29</v>
      </c>
      <c r="C64" s="4">
        <v>549</v>
      </c>
      <c r="D64" s="2">
        <v>1</v>
      </c>
      <c r="E64" s="4">
        <v>0</v>
      </c>
      <c r="F64" s="5"/>
      <c r="G64" s="5"/>
      <c r="H64" s="5">
        <v>2</v>
      </c>
      <c r="I64" s="5">
        <v>2</v>
      </c>
      <c r="J64" s="5">
        <v>2</v>
      </c>
      <c r="K64" s="5">
        <v>2</v>
      </c>
      <c r="L64" s="5">
        <v>2</v>
      </c>
      <c r="M64" s="5">
        <v>2</v>
      </c>
      <c r="N64" s="5">
        <v>2</v>
      </c>
      <c r="O64" s="5">
        <v>2</v>
      </c>
      <c r="P64" s="5">
        <v>2</v>
      </c>
      <c r="Q64" s="5">
        <v>2</v>
      </c>
      <c r="R64" s="5">
        <v>2</v>
      </c>
      <c r="S64" s="5">
        <v>2</v>
      </c>
      <c r="T64" s="5">
        <v>0</v>
      </c>
      <c r="U64" s="5" t="s">
        <v>30</v>
      </c>
      <c r="V64" s="5" t="s">
        <v>30</v>
      </c>
      <c r="W64" s="5" t="s">
        <v>30</v>
      </c>
      <c r="X64" s="5" t="s">
        <v>30</v>
      </c>
      <c r="Y64" s="5" t="s">
        <v>30</v>
      </c>
      <c r="Z64" s="5" t="s">
        <v>30</v>
      </c>
      <c r="AA64" s="5" t="s">
        <v>30</v>
      </c>
      <c r="AB64" s="5" t="s">
        <v>30</v>
      </c>
      <c r="AC64" s="5" t="s">
        <v>30</v>
      </c>
    </row>
    <row r="65" spans="1:29" ht="15" customHeight="1">
      <c r="A65" s="2">
        <v>64</v>
      </c>
      <c r="B65" s="3" t="s">
        <v>29</v>
      </c>
      <c r="C65" s="4">
        <v>549</v>
      </c>
      <c r="D65" s="2">
        <v>1</v>
      </c>
      <c r="E65" s="4">
        <v>0</v>
      </c>
      <c r="F65" s="5"/>
      <c r="G65" s="5"/>
      <c r="H65" s="5">
        <v>2</v>
      </c>
      <c r="I65" s="5">
        <v>2</v>
      </c>
      <c r="J65" s="5">
        <v>2</v>
      </c>
      <c r="K65" s="5">
        <v>2</v>
      </c>
      <c r="L65" s="5">
        <v>2</v>
      </c>
      <c r="M65" s="5">
        <v>2</v>
      </c>
      <c r="N65" s="5">
        <v>2</v>
      </c>
      <c r="O65" s="5">
        <v>2</v>
      </c>
      <c r="P65" s="5">
        <v>2</v>
      </c>
      <c r="Q65" s="5">
        <v>2</v>
      </c>
      <c r="R65" s="5">
        <v>2</v>
      </c>
      <c r="S65" s="5">
        <v>2</v>
      </c>
      <c r="T65" s="5">
        <v>0</v>
      </c>
      <c r="U65" s="5" t="s">
        <v>30</v>
      </c>
      <c r="V65" s="5" t="s">
        <v>30</v>
      </c>
      <c r="W65" s="5" t="s">
        <v>30</v>
      </c>
      <c r="X65" s="5" t="s">
        <v>30</v>
      </c>
      <c r="Y65" s="5" t="s">
        <v>30</v>
      </c>
      <c r="Z65" s="5" t="s">
        <v>30</v>
      </c>
      <c r="AA65" s="5" t="s">
        <v>30</v>
      </c>
      <c r="AB65" s="5" t="s">
        <v>30</v>
      </c>
      <c r="AC65" s="5" t="s">
        <v>30</v>
      </c>
    </row>
    <row r="66" spans="1:29" ht="15" customHeight="1">
      <c r="A66" s="2">
        <v>65</v>
      </c>
      <c r="B66" s="3" t="s">
        <v>31</v>
      </c>
      <c r="C66" s="4">
        <v>482</v>
      </c>
      <c r="D66" s="2">
        <v>1</v>
      </c>
      <c r="E66" s="4">
        <v>0</v>
      </c>
      <c r="F66" s="5"/>
      <c r="G66" s="5"/>
      <c r="H66" s="5">
        <v>2</v>
      </c>
      <c r="I66" s="5">
        <v>2</v>
      </c>
      <c r="J66" s="5">
        <v>2</v>
      </c>
      <c r="K66" s="5">
        <v>2</v>
      </c>
      <c r="L66" s="5">
        <v>2</v>
      </c>
      <c r="M66" s="5">
        <v>2</v>
      </c>
      <c r="N66" s="5">
        <v>2</v>
      </c>
      <c r="O66" s="5">
        <v>2</v>
      </c>
      <c r="P66" s="5">
        <v>2</v>
      </c>
      <c r="Q66" s="5">
        <v>2</v>
      </c>
      <c r="R66" s="5">
        <v>2</v>
      </c>
      <c r="S66" s="5">
        <v>2</v>
      </c>
      <c r="T66" s="5">
        <v>2</v>
      </c>
      <c r="U66" s="5" t="s">
        <v>30</v>
      </c>
      <c r="V66" s="5" t="s">
        <v>30</v>
      </c>
      <c r="W66" s="5" t="s">
        <v>30</v>
      </c>
      <c r="X66" s="5" t="s">
        <v>30</v>
      </c>
      <c r="Y66" s="5" t="s">
        <v>30</v>
      </c>
      <c r="Z66" s="5" t="s">
        <v>30</v>
      </c>
      <c r="AA66" s="5" t="s">
        <v>30</v>
      </c>
      <c r="AB66" s="5" t="s">
        <v>30</v>
      </c>
      <c r="AC66" s="5" t="s">
        <v>30</v>
      </c>
    </row>
    <row r="67" spans="1:29" ht="15" customHeight="1">
      <c r="A67" s="2">
        <v>66</v>
      </c>
      <c r="B67" s="3" t="s">
        <v>32</v>
      </c>
      <c r="C67" s="4">
        <v>347</v>
      </c>
      <c r="D67" s="2">
        <v>1</v>
      </c>
      <c r="E67" s="4">
        <v>0</v>
      </c>
      <c r="F67" s="5"/>
      <c r="G67" s="5"/>
      <c r="H67" s="5">
        <v>2</v>
      </c>
      <c r="I67" s="5">
        <v>2</v>
      </c>
      <c r="J67" s="5">
        <v>2</v>
      </c>
      <c r="K67" s="5">
        <v>2</v>
      </c>
      <c r="L67" s="5">
        <v>2</v>
      </c>
      <c r="M67" s="5">
        <v>2</v>
      </c>
      <c r="N67" s="5">
        <v>2</v>
      </c>
      <c r="O67" s="5">
        <v>2</v>
      </c>
      <c r="P67" s="5">
        <v>2</v>
      </c>
      <c r="Q67" s="5">
        <v>2</v>
      </c>
      <c r="R67" s="5">
        <v>2</v>
      </c>
      <c r="S67" s="5">
        <v>2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</row>
    <row r="68" spans="1:29" ht="15" customHeight="1">
      <c r="A68" s="2">
        <v>67</v>
      </c>
      <c r="B68" s="3" t="s">
        <v>32</v>
      </c>
      <c r="C68" s="4">
        <v>347</v>
      </c>
      <c r="D68" s="2">
        <v>1</v>
      </c>
      <c r="E68" s="4">
        <v>0</v>
      </c>
      <c r="F68" s="5"/>
      <c r="G68" s="5"/>
      <c r="H68" s="5">
        <v>2</v>
      </c>
      <c r="I68" s="5">
        <v>2</v>
      </c>
      <c r="J68" s="5">
        <v>2</v>
      </c>
      <c r="K68" s="5">
        <v>2</v>
      </c>
      <c r="L68" s="5">
        <v>2</v>
      </c>
      <c r="M68" s="5">
        <v>2</v>
      </c>
      <c r="N68" s="5">
        <v>2</v>
      </c>
      <c r="O68" s="5">
        <v>2</v>
      </c>
      <c r="P68" s="5">
        <v>2</v>
      </c>
      <c r="Q68" s="5">
        <v>2</v>
      </c>
      <c r="R68" s="5">
        <v>0</v>
      </c>
      <c r="S68" s="5">
        <v>0</v>
      </c>
      <c r="T68" s="5">
        <v>0</v>
      </c>
      <c r="U68" s="5" t="s">
        <v>30</v>
      </c>
      <c r="V68" s="5" t="s">
        <v>30</v>
      </c>
      <c r="W68" s="5" t="s">
        <v>30</v>
      </c>
      <c r="X68" s="5" t="s">
        <v>30</v>
      </c>
      <c r="Y68" s="5" t="s">
        <v>30</v>
      </c>
      <c r="Z68" s="5" t="s">
        <v>30</v>
      </c>
      <c r="AA68" s="5" t="s">
        <v>30</v>
      </c>
      <c r="AB68" s="5" t="s">
        <v>30</v>
      </c>
      <c r="AC68" s="5" t="s">
        <v>30</v>
      </c>
    </row>
    <row r="69" spans="1:29" ht="15" customHeight="1">
      <c r="A69" s="2">
        <v>68</v>
      </c>
      <c r="B69" s="3" t="s">
        <v>29</v>
      </c>
      <c r="C69" s="4">
        <v>522</v>
      </c>
      <c r="D69" s="2">
        <v>1</v>
      </c>
      <c r="E69" s="4">
        <v>0</v>
      </c>
      <c r="F69" s="5"/>
      <c r="G69" s="5"/>
      <c r="H69" s="5">
        <v>2</v>
      </c>
      <c r="I69" s="5">
        <v>2</v>
      </c>
      <c r="J69" s="5">
        <v>2</v>
      </c>
      <c r="K69" s="5">
        <v>2</v>
      </c>
      <c r="L69" s="5">
        <v>2</v>
      </c>
      <c r="M69" s="5">
        <v>2</v>
      </c>
      <c r="N69" s="5">
        <v>2</v>
      </c>
      <c r="O69" s="5">
        <v>2</v>
      </c>
      <c r="P69" s="5">
        <v>2</v>
      </c>
      <c r="Q69" s="5">
        <v>2</v>
      </c>
      <c r="R69" s="5">
        <v>2</v>
      </c>
      <c r="S69" s="5">
        <v>2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</row>
    <row r="70" spans="1:29" ht="15" customHeight="1">
      <c r="A70" s="2">
        <v>69</v>
      </c>
      <c r="B70" s="3" t="s">
        <v>29</v>
      </c>
      <c r="C70" s="4">
        <v>549</v>
      </c>
      <c r="D70" s="2">
        <v>1</v>
      </c>
      <c r="E70" s="4">
        <v>0</v>
      </c>
      <c r="F70" s="5"/>
      <c r="G70" s="5"/>
      <c r="H70" s="5">
        <v>2</v>
      </c>
      <c r="I70" s="5">
        <v>2</v>
      </c>
      <c r="J70" s="5">
        <v>2</v>
      </c>
      <c r="K70" s="5">
        <v>2</v>
      </c>
      <c r="L70" s="5">
        <v>2</v>
      </c>
      <c r="M70" s="5">
        <v>2</v>
      </c>
      <c r="N70" s="5">
        <v>2</v>
      </c>
      <c r="O70" s="5">
        <v>2</v>
      </c>
      <c r="P70" s="5">
        <v>2</v>
      </c>
      <c r="Q70" s="5">
        <v>2</v>
      </c>
      <c r="R70" s="5">
        <v>2</v>
      </c>
      <c r="S70" s="5">
        <v>2</v>
      </c>
      <c r="T70" s="5">
        <v>0</v>
      </c>
      <c r="U70" s="5" t="s">
        <v>30</v>
      </c>
      <c r="V70" s="5" t="s">
        <v>30</v>
      </c>
      <c r="W70" s="5" t="s">
        <v>30</v>
      </c>
      <c r="X70" s="5" t="s">
        <v>30</v>
      </c>
      <c r="Y70" s="5" t="s">
        <v>30</v>
      </c>
      <c r="Z70" s="5" t="s">
        <v>30</v>
      </c>
      <c r="AA70" s="5" t="s">
        <v>30</v>
      </c>
      <c r="AB70" s="5" t="s">
        <v>30</v>
      </c>
      <c r="AC70" s="5" t="s">
        <v>30</v>
      </c>
    </row>
    <row r="71" spans="1:29" ht="15" customHeight="1">
      <c r="A71" s="2">
        <v>70</v>
      </c>
      <c r="B71" s="3" t="s">
        <v>29</v>
      </c>
      <c r="C71" s="4">
        <v>549</v>
      </c>
      <c r="D71" s="2">
        <v>1</v>
      </c>
      <c r="E71" s="4">
        <v>0</v>
      </c>
      <c r="F71" s="5"/>
      <c r="G71" s="5"/>
      <c r="H71" s="5">
        <v>2</v>
      </c>
      <c r="I71" s="5">
        <v>2</v>
      </c>
      <c r="J71" s="5">
        <v>2</v>
      </c>
      <c r="K71" s="5">
        <v>2</v>
      </c>
      <c r="L71" s="5">
        <v>2</v>
      </c>
      <c r="M71" s="5">
        <v>2</v>
      </c>
      <c r="N71" s="5">
        <v>2</v>
      </c>
      <c r="O71" s="5">
        <v>2</v>
      </c>
      <c r="P71" s="5">
        <v>2</v>
      </c>
      <c r="Q71" s="5">
        <v>2</v>
      </c>
      <c r="R71" s="5">
        <v>2</v>
      </c>
      <c r="S71" s="5">
        <v>2</v>
      </c>
      <c r="T71" s="5">
        <v>0</v>
      </c>
      <c r="U71" s="5" t="s">
        <v>30</v>
      </c>
      <c r="V71" s="5" t="s">
        <v>30</v>
      </c>
      <c r="W71" s="5" t="s">
        <v>30</v>
      </c>
      <c r="X71" s="5" t="s">
        <v>30</v>
      </c>
      <c r="Y71" s="5" t="s">
        <v>30</v>
      </c>
      <c r="Z71" s="5" t="s">
        <v>30</v>
      </c>
      <c r="AA71" s="5" t="s">
        <v>30</v>
      </c>
      <c r="AB71" s="5" t="s">
        <v>30</v>
      </c>
      <c r="AC71" s="5" t="s">
        <v>30</v>
      </c>
    </row>
    <row r="72" spans="1:29" ht="15" customHeight="1">
      <c r="A72" s="2">
        <v>71</v>
      </c>
      <c r="B72" s="3" t="s">
        <v>31</v>
      </c>
      <c r="C72" s="4">
        <v>482</v>
      </c>
      <c r="D72" s="2">
        <v>1</v>
      </c>
      <c r="E72" s="4">
        <v>0</v>
      </c>
      <c r="F72" s="5"/>
      <c r="G72" s="5"/>
      <c r="H72" s="5">
        <v>2</v>
      </c>
      <c r="I72" s="5">
        <v>2</v>
      </c>
      <c r="J72" s="5">
        <v>2</v>
      </c>
      <c r="K72" s="5">
        <v>2</v>
      </c>
      <c r="L72" s="5">
        <v>2</v>
      </c>
      <c r="M72" s="5">
        <v>2</v>
      </c>
      <c r="N72" s="5">
        <v>2</v>
      </c>
      <c r="O72" s="5">
        <v>2</v>
      </c>
      <c r="P72" s="5">
        <v>2</v>
      </c>
      <c r="Q72" s="5">
        <v>2</v>
      </c>
      <c r="R72" s="5">
        <v>2</v>
      </c>
      <c r="S72" s="5">
        <v>2</v>
      </c>
      <c r="T72" s="5">
        <v>0</v>
      </c>
      <c r="U72" s="5" t="s">
        <v>30</v>
      </c>
      <c r="V72" s="5" t="s">
        <v>30</v>
      </c>
      <c r="W72" s="5" t="s">
        <v>30</v>
      </c>
      <c r="X72" s="5" t="s">
        <v>30</v>
      </c>
      <c r="Y72" s="5" t="s">
        <v>30</v>
      </c>
      <c r="Z72" s="5" t="s">
        <v>30</v>
      </c>
      <c r="AA72" s="5" t="s">
        <v>30</v>
      </c>
      <c r="AB72" s="5" t="s">
        <v>30</v>
      </c>
      <c r="AC72" s="5" t="s">
        <v>30</v>
      </c>
    </row>
    <row r="73" spans="1:29" ht="15" customHeight="1">
      <c r="A73" s="2">
        <v>72</v>
      </c>
      <c r="B73" s="3" t="s">
        <v>32</v>
      </c>
      <c r="C73" s="4">
        <v>347</v>
      </c>
      <c r="D73" s="2">
        <v>1</v>
      </c>
      <c r="E73" s="4">
        <v>0</v>
      </c>
      <c r="F73" s="5"/>
      <c r="G73" s="5"/>
      <c r="H73" s="5">
        <v>2</v>
      </c>
      <c r="I73" s="5">
        <v>2</v>
      </c>
      <c r="J73" s="5">
        <v>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5">
        <v>2</v>
      </c>
      <c r="T73" s="5">
        <v>0</v>
      </c>
      <c r="U73" s="5" t="s">
        <v>30</v>
      </c>
      <c r="V73" s="5" t="s">
        <v>30</v>
      </c>
      <c r="W73" s="5" t="s">
        <v>30</v>
      </c>
      <c r="X73" s="5" t="s">
        <v>30</v>
      </c>
      <c r="Y73" s="5" t="s">
        <v>30</v>
      </c>
      <c r="Z73" s="5" t="s">
        <v>30</v>
      </c>
      <c r="AA73" s="5" t="s">
        <v>30</v>
      </c>
      <c r="AB73" s="5" t="s">
        <v>30</v>
      </c>
      <c r="AC73" s="5" t="s">
        <v>30</v>
      </c>
    </row>
    <row r="74" spans="1:29" ht="15" customHeight="1">
      <c r="A74" s="2">
        <v>73</v>
      </c>
      <c r="B74" s="3" t="s">
        <v>32</v>
      </c>
      <c r="C74" s="4">
        <v>347</v>
      </c>
      <c r="D74" s="2">
        <v>0</v>
      </c>
      <c r="E74" s="4">
        <v>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" customHeight="1">
      <c r="A75" s="2">
        <v>74</v>
      </c>
      <c r="B75" s="3" t="s">
        <v>29</v>
      </c>
      <c r="C75" s="4">
        <v>689</v>
      </c>
      <c r="D75" s="2">
        <v>1</v>
      </c>
      <c r="E75" s="4">
        <v>0</v>
      </c>
      <c r="F75" s="5"/>
      <c r="G75" s="5"/>
      <c r="H75" s="5">
        <v>2</v>
      </c>
      <c r="I75" s="5">
        <v>2</v>
      </c>
      <c r="J75" s="5">
        <v>2</v>
      </c>
      <c r="K75" s="5">
        <v>2</v>
      </c>
      <c r="L75" s="5">
        <v>2</v>
      </c>
      <c r="M75" s="5">
        <v>2</v>
      </c>
      <c r="N75" s="5">
        <v>2</v>
      </c>
      <c r="O75" s="5">
        <v>2</v>
      </c>
      <c r="P75" s="5">
        <v>2</v>
      </c>
      <c r="Q75" s="5">
        <v>2</v>
      </c>
      <c r="R75" s="5">
        <v>2</v>
      </c>
      <c r="S75" s="5">
        <v>2</v>
      </c>
      <c r="T75" s="5">
        <v>0</v>
      </c>
      <c r="U75" s="5" t="s">
        <v>30</v>
      </c>
      <c r="V75" s="5" t="s">
        <v>30</v>
      </c>
      <c r="W75" s="5" t="s">
        <v>30</v>
      </c>
      <c r="X75" s="5" t="s">
        <v>30</v>
      </c>
      <c r="Y75" s="5" t="s">
        <v>30</v>
      </c>
      <c r="Z75" s="5" t="s">
        <v>30</v>
      </c>
      <c r="AA75" s="5" t="s">
        <v>30</v>
      </c>
      <c r="AB75" s="5" t="s">
        <v>30</v>
      </c>
      <c r="AC75" s="5" t="s">
        <v>30</v>
      </c>
    </row>
    <row r="76" spans="1:29" ht="15" customHeight="1">
      <c r="A76" s="2">
        <v>75</v>
      </c>
      <c r="B76" s="3" t="s">
        <v>29</v>
      </c>
      <c r="C76" s="4">
        <v>743</v>
      </c>
      <c r="D76" s="2">
        <v>1</v>
      </c>
      <c r="E76" s="4">
        <v>0</v>
      </c>
      <c r="F76" s="5"/>
      <c r="G76" s="5"/>
      <c r="H76" s="5">
        <v>2</v>
      </c>
      <c r="I76" s="5">
        <v>2</v>
      </c>
      <c r="J76" s="5">
        <v>2</v>
      </c>
      <c r="K76" s="5">
        <v>2</v>
      </c>
      <c r="L76" s="5">
        <v>2</v>
      </c>
      <c r="M76" s="5">
        <v>2</v>
      </c>
      <c r="N76" s="5">
        <v>2</v>
      </c>
      <c r="O76" s="5">
        <v>2</v>
      </c>
      <c r="P76" s="5">
        <v>2</v>
      </c>
      <c r="Q76" s="5">
        <v>2</v>
      </c>
      <c r="R76" s="5">
        <v>2</v>
      </c>
      <c r="S76" s="5">
        <v>2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</row>
    <row r="77" spans="1:29" ht="15" customHeight="1">
      <c r="A77" s="2">
        <v>76</v>
      </c>
      <c r="B77" s="3" t="s">
        <v>29</v>
      </c>
      <c r="C77" s="4">
        <v>738</v>
      </c>
      <c r="D77" s="2">
        <v>1</v>
      </c>
      <c r="E77" s="4">
        <v>0</v>
      </c>
      <c r="F77" s="5"/>
      <c r="G77" s="5"/>
      <c r="H77" s="5">
        <v>2</v>
      </c>
      <c r="I77" s="5">
        <v>2</v>
      </c>
      <c r="J77" s="5">
        <v>2</v>
      </c>
      <c r="K77" s="5">
        <v>2</v>
      </c>
      <c r="L77" s="5">
        <v>2</v>
      </c>
      <c r="M77" s="5">
        <v>2</v>
      </c>
      <c r="N77" s="5">
        <v>2</v>
      </c>
      <c r="O77" s="5">
        <v>2</v>
      </c>
      <c r="P77" s="5">
        <v>2</v>
      </c>
      <c r="Q77" s="5">
        <v>2</v>
      </c>
      <c r="R77" s="5">
        <v>2</v>
      </c>
      <c r="S77" s="5">
        <v>2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rightToLeft="1" zoomScaleNormal="100" workbookViewId="0">
      <selection activeCell="B2" sqref="B2"/>
    </sheetView>
  </sheetViews>
  <sheetFormatPr defaultColWidth="8.7109375" defaultRowHeight="15"/>
  <cols>
    <col min="1" max="1" width="20" customWidth="1"/>
    <col min="2" max="2" width="15" customWidth="1"/>
  </cols>
  <sheetData>
    <row r="1" spans="1:2" ht="15" customHeight="1">
      <c r="A1" s="6" t="s">
        <v>33</v>
      </c>
      <c r="B1" s="7">
        <v>73729</v>
      </c>
    </row>
    <row r="3" spans="1:2" ht="15" customHeight="1">
      <c r="A3" s="8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3"/>
  <sheetViews>
    <sheetView rightToLeft="1" zoomScaleNormal="100" workbookViewId="0">
      <selection activeCell="M37" sqref="M37"/>
    </sheetView>
  </sheetViews>
  <sheetFormatPr defaultColWidth="8.7109375" defaultRowHeight="15"/>
  <cols>
    <col min="1" max="1" width="16.42578125" customWidth="1"/>
    <col min="2" max="2" width="11.140625" customWidth="1"/>
    <col min="3" max="3" width="9.28515625" customWidth="1"/>
    <col min="4" max="4" width="11.42578125" customWidth="1"/>
    <col min="5" max="5" width="12.140625" customWidth="1"/>
    <col min="6" max="6" width="10.7109375" customWidth="1"/>
    <col min="7" max="7" width="10.28515625" customWidth="1"/>
    <col min="8" max="8" width="12.42578125" customWidth="1"/>
    <col min="9" max="9" width="11.140625" customWidth="1"/>
  </cols>
  <sheetData>
    <row r="1" spans="1:9" ht="15" customHeigh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</row>
    <row r="2" spans="1:9" ht="15" customHeight="1">
      <c r="A2" s="10" t="s">
        <v>5</v>
      </c>
      <c r="B2" s="11">
        <f>SUMIF(נתוני_תשלומים!D:D,1,נתוני_תשלומים!C:C)</f>
        <v>34349</v>
      </c>
      <c r="C2">
        <f>SUMPRODUCT((נתוני_תשלומים!F2:F77=2)*(נתוני_תשלומים!D2:D77=1))</f>
        <v>0</v>
      </c>
      <c r="D2">
        <f>SUMPRODUCT((נתוני_תשלומים!F2:F77=1)*(נתוני_תשלומים!D2:D77=1))</f>
        <v>0</v>
      </c>
      <c r="E2">
        <f t="shared" ref="E2:E25" si="0">H2-(C2+D2)</f>
        <v>72</v>
      </c>
      <c r="F2" s="11">
        <f>SUMPRODUCT((נתוני_תשלומים!F2:F77=2)*(נתוני_תשלומים!D2:D77=1)*(נתוני_תשלומים!C2:C77))</f>
        <v>0</v>
      </c>
      <c r="G2" s="12">
        <f t="shared" ref="G2:G25" si="1">IF(B2=0,0,F2/B2)</f>
        <v>0</v>
      </c>
      <c r="H2">
        <f>COUNTIF(נתוני_תשלומים!D:D,1)</f>
        <v>72</v>
      </c>
      <c r="I2" s="13">
        <v>0</v>
      </c>
    </row>
    <row r="3" spans="1:9" ht="15" customHeight="1">
      <c r="A3" s="10" t="s">
        <v>6</v>
      </c>
      <c r="B3" s="11">
        <f>SUMIF(נתוני_תשלומים!D:D,1,נתוני_תשלומים!C:C)</f>
        <v>34349</v>
      </c>
      <c r="C3">
        <f>SUMPRODUCT((נתוני_תשלומים!G2:G77=2)*(נתוני_תשלומים!D2:D77=1))</f>
        <v>0</v>
      </c>
      <c r="D3">
        <f>SUMPRODUCT((נתוני_תשלומים!G2:G77=1)*(נתוני_תשלומים!D2:D77=1))</f>
        <v>0</v>
      </c>
      <c r="E3">
        <f t="shared" si="0"/>
        <v>72</v>
      </c>
      <c r="F3" s="11">
        <f>SUMPRODUCT((נתוני_תשלומים!G2:G77=2)*(נתוני_תשלומים!D2:D77=1)*(נתוני_תשלומים!C2:C77))</f>
        <v>0</v>
      </c>
      <c r="G3" s="12">
        <f t="shared" si="1"/>
        <v>0</v>
      </c>
      <c r="H3">
        <f>COUNTIF(נתוני_תשלומים!D:D,1)</f>
        <v>72</v>
      </c>
      <c r="I3" s="13">
        <v>0</v>
      </c>
    </row>
    <row r="4" spans="1:9" ht="15" customHeight="1">
      <c r="A4" s="10" t="s">
        <v>7</v>
      </c>
      <c r="B4" s="11">
        <f>SUMIF(נתוני_תשלומים!D:D,1,נתוני_תשלומים!C:C)</f>
        <v>34349</v>
      </c>
      <c r="C4">
        <f>SUMPRODUCT((נתוני_תשלומים!H2:H77=2)*(נתוני_תשלומים!D2:D77=1))</f>
        <v>71</v>
      </c>
      <c r="D4">
        <f>SUMPRODUCT((נתוני_תשלומים!H2:H77=1)*(נתוני_תשלומים!D2:D77=1))</f>
        <v>0</v>
      </c>
      <c r="E4">
        <f t="shared" si="0"/>
        <v>1</v>
      </c>
      <c r="F4" s="11">
        <f>SUMPRODUCT((נתוני_תשלומים!H2:H77=2)*(נתוני_תשלומים!D2:D77=1)*(נתוני_תשלומים!C2:C77))</f>
        <v>34002</v>
      </c>
      <c r="G4" s="12">
        <f t="shared" si="1"/>
        <v>0.98989781361902818</v>
      </c>
      <c r="H4">
        <f>COUNTIF(נתוני_תשלומים!D:D,1)</f>
        <v>72</v>
      </c>
      <c r="I4" s="13">
        <v>0</v>
      </c>
    </row>
    <row r="5" spans="1:9" ht="15" customHeight="1">
      <c r="A5" s="10" t="s">
        <v>8</v>
      </c>
      <c r="B5" s="11">
        <f>SUMIF(נתוני_תשלומים!D:D,1,נתוני_תשלומים!C:C)</f>
        <v>34349</v>
      </c>
      <c r="C5">
        <f>SUMPRODUCT((נתוני_תשלומים!I2:I77=2)*(נתוני_תשלומים!D2:D77=1))</f>
        <v>71</v>
      </c>
      <c r="D5">
        <f>SUMPRODUCT((נתוני_תשלומים!I2:I77=1)*(נתוני_תשלומים!D2:D77=1))</f>
        <v>0</v>
      </c>
      <c r="E5">
        <f t="shared" si="0"/>
        <v>1</v>
      </c>
      <c r="F5" s="11">
        <f>SUMPRODUCT((נתוני_תשלומים!I2:I77=2)*(נתוני_תשלומים!D2:D77=1)*(נתוני_תשלומים!C2:C77))</f>
        <v>34002</v>
      </c>
      <c r="G5" s="12">
        <f t="shared" si="1"/>
        <v>0.98989781361902818</v>
      </c>
      <c r="H5">
        <f>COUNTIF(נתוני_תשלומים!D:D,1)</f>
        <v>72</v>
      </c>
      <c r="I5" s="13">
        <v>0</v>
      </c>
    </row>
    <row r="6" spans="1:9" ht="15" customHeight="1">
      <c r="A6" s="10" t="s">
        <v>9</v>
      </c>
      <c r="B6" s="11">
        <f>SUMIF(נתוני_תשלומים!D:D,1,נתוני_תשלומים!C:C)</f>
        <v>34349</v>
      </c>
      <c r="C6">
        <f>SUMPRODUCT((נתוני_תשלומים!J2:J77=2)*(נתוני_תשלומים!D2:D77=1))</f>
        <v>71</v>
      </c>
      <c r="D6">
        <f>SUMPRODUCT((נתוני_תשלומים!J2:J77=1)*(נתוני_תשלומים!D2:D77=1))</f>
        <v>0</v>
      </c>
      <c r="E6">
        <f t="shared" si="0"/>
        <v>1</v>
      </c>
      <c r="F6" s="11">
        <f>SUMPRODUCT((נתוני_תשלומים!J2:J77=2)*(נתוני_תשלומים!D2:D77=1)*(נתוני_תשלומים!C2:C77))</f>
        <v>34002</v>
      </c>
      <c r="G6" s="12">
        <f t="shared" si="1"/>
        <v>0.98989781361902818</v>
      </c>
      <c r="H6">
        <f>COUNTIF(נתוני_תשלומים!D:D,1)</f>
        <v>72</v>
      </c>
      <c r="I6" s="13">
        <v>0</v>
      </c>
    </row>
    <row r="7" spans="1:9" ht="15" customHeight="1">
      <c r="A7" s="10" t="s">
        <v>10</v>
      </c>
      <c r="B7" s="11">
        <f>SUMIF(נתוני_תשלומים!D:D,1,נתוני_תשלומים!C:C)</f>
        <v>34349</v>
      </c>
      <c r="C7">
        <f>SUMPRODUCT((נתוני_תשלומים!K2:K77=2)*(נתוני_תשלומים!D2:D77=1))</f>
        <v>71</v>
      </c>
      <c r="D7">
        <f>SUMPRODUCT((נתוני_תשלומים!K2:K77=1)*(נתוני_תשלומים!D2:D77=1))</f>
        <v>0</v>
      </c>
      <c r="E7">
        <f t="shared" si="0"/>
        <v>1</v>
      </c>
      <c r="F7" s="11">
        <f>SUMPRODUCT((נתוני_תשלומים!K2:K77=2)*(נתוני_תשלומים!D2:D77=1)*(נתוני_תשלומים!C2:C77))</f>
        <v>34002</v>
      </c>
      <c r="G7" s="12">
        <f t="shared" si="1"/>
        <v>0.98989781361902818</v>
      </c>
      <c r="H7">
        <f>COUNTIF(נתוני_תשלומים!D:D,1)</f>
        <v>72</v>
      </c>
      <c r="I7" s="13">
        <v>0</v>
      </c>
    </row>
    <row r="8" spans="1:9" ht="15" customHeight="1">
      <c r="A8" s="10" t="s">
        <v>11</v>
      </c>
      <c r="B8" s="11">
        <f>SUMIF(נתוני_תשלומים!D:D,1,נתוני_תשלומים!C:C)</f>
        <v>34349</v>
      </c>
      <c r="C8">
        <f>SUMPRODUCT((נתוני_תשלומים!L2:L77=2)*(נתוני_תשלומים!D2:D77=1))</f>
        <v>71</v>
      </c>
      <c r="D8">
        <f>SUMPRODUCT((נתוני_תשלומים!L2:L77=1)*(נתוני_תשלומים!D2:D77=1))</f>
        <v>0</v>
      </c>
      <c r="E8">
        <f t="shared" si="0"/>
        <v>1</v>
      </c>
      <c r="F8" s="11">
        <f>SUMPRODUCT((נתוני_תשלומים!L2:L77=2)*(נתוני_תשלומים!D2:D77=1)*(נתוני_תשלומים!C2:C77))</f>
        <v>34002</v>
      </c>
      <c r="G8" s="12">
        <f t="shared" si="1"/>
        <v>0.98989781361902818</v>
      </c>
      <c r="H8">
        <f>COUNTIF(נתוני_תשלומים!D:D,1)</f>
        <v>72</v>
      </c>
      <c r="I8" s="13">
        <v>0</v>
      </c>
    </row>
    <row r="9" spans="1:9" ht="15" customHeight="1">
      <c r="A9" s="10" t="s">
        <v>12</v>
      </c>
      <c r="B9" s="11">
        <f>SUMIF(נתוני_תשלומים!D:D,1,נתוני_תשלומים!C:C)</f>
        <v>34349</v>
      </c>
      <c r="C9">
        <f>SUMPRODUCT((נתוני_תשלומים!M2:M77=2)*(נתוני_תשלומים!D2:D77=1))</f>
        <v>71</v>
      </c>
      <c r="D9">
        <f>SUMPRODUCT((נתוני_תשלומים!M2:M77=1)*(נתוני_תשלומים!D2:D77=1))</f>
        <v>0</v>
      </c>
      <c r="E9">
        <f t="shared" si="0"/>
        <v>1</v>
      </c>
      <c r="F9" s="11">
        <f>SUMPRODUCT((נתוני_תשלומים!M2:M77=2)*(נתוני_תשלומים!D2:D77=1)*(נתוני_תשלומים!C2:C77))</f>
        <v>34002</v>
      </c>
      <c r="G9" s="12">
        <f t="shared" si="1"/>
        <v>0.98989781361902818</v>
      </c>
      <c r="H9">
        <f>COUNTIF(נתוני_תשלומים!D:D,1)</f>
        <v>72</v>
      </c>
      <c r="I9" s="13">
        <v>0</v>
      </c>
    </row>
    <row r="10" spans="1:9" ht="15" customHeight="1">
      <c r="A10" s="10" t="s">
        <v>13</v>
      </c>
      <c r="B10" s="11">
        <f>SUMIF(נתוני_תשלומים!D:D,1,נתוני_תשלומים!C:C)</f>
        <v>34349</v>
      </c>
      <c r="C10">
        <f>SUMPRODUCT((נתוני_תשלומים!N2:N77=2)*(נתוני_תשלומים!D2:D77=1))</f>
        <v>71</v>
      </c>
      <c r="D10">
        <f>SUMPRODUCT((נתוני_תשלומים!N2:N77=1)*(נתוני_תשלומים!D2:D77=1))</f>
        <v>0</v>
      </c>
      <c r="E10">
        <f t="shared" si="0"/>
        <v>1</v>
      </c>
      <c r="F10" s="11">
        <f>SUMPRODUCT((נתוני_תשלומים!N2:N77=2)*(נתוני_תשלומים!D2:D77=1)*(נתוני_תשלומים!C2:C77))</f>
        <v>34002</v>
      </c>
      <c r="G10" s="12">
        <f t="shared" si="1"/>
        <v>0.98989781361902818</v>
      </c>
      <c r="H10">
        <f>COUNTIF(נתוני_תשלומים!D:D,1)</f>
        <v>72</v>
      </c>
      <c r="I10" s="13">
        <v>0</v>
      </c>
    </row>
    <row r="11" spans="1:9" ht="15" customHeight="1">
      <c r="A11" s="10" t="s">
        <v>14</v>
      </c>
      <c r="B11" s="11">
        <f>SUMIF(נתוני_תשלומים!D:D,1,נתוני_תשלומים!C:C)</f>
        <v>34349</v>
      </c>
      <c r="C11">
        <f>SUMPRODUCT((נתוני_תשלומים!O2:O77=2)*(נתוני_תשלומים!D2:D77=1))</f>
        <v>70</v>
      </c>
      <c r="D11">
        <f>SUMPRODUCT((נתוני_תשלומים!O2:O77=1)*(נתוני_תשלומים!D2:D77=1))</f>
        <v>1</v>
      </c>
      <c r="E11">
        <f t="shared" si="0"/>
        <v>1</v>
      </c>
      <c r="F11" s="11">
        <f>SUMPRODUCT((נתוני_תשלומים!O2:O77=2)*(נתוני_תשלומים!D2:D77=1)*(נתוני_תשלומים!C2:C77))</f>
        <v>33453</v>
      </c>
      <c r="G11" s="12">
        <f t="shared" si="1"/>
        <v>0.97391481556959447</v>
      </c>
      <c r="H11">
        <f>COUNTIF(נתוני_תשלומים!D:D,1)</f>
        <v>72</v>
      </c>
      <c r="I11" s="13">
        <v>0</v>
      </c>
    </row>
    <row r="12" spans="1:9" ht="15" customHeight="1">
      <c r="A12" s="10" t="s">
        <v>15</v>
      </c>
      <c r="B12" s="11">
        <f>SUMIF(נתוני_תשלומים!D:D,1,נתוני_תשלומים!C:C)</f>
        <v>34349</v>
      </c>
      <c r="C12">
        <f>SUMPRODUCT((נתוני_תשלומים!P2:P77=2)*(נתוני_תשלומים!D2:D77=1))</f>
        <v>69</v>
      </c>
      <c r="D12">
        <f>SUMPRODUCT((נתוני_תשלומים!P2:P77=1)*(נתוני_תשלומים!D2:D77=1))</f>
        <v>0</v>
      </c>
      <c r="E12">
        <f t="shared" si="0"/>
        <v>3</v>
      </c>
      <c r="F12" s="11">
        <f>SUMPRODUCT((נתוני_תשלומים!P2:P77=2)*(נתוני_תשלומים!D2:D77=1)*(נתוני_תשלומים!C2:C77))</f>
        <v>33101</v>
      </c>
      <c r="G12" s="12">
        <f t="shared" si="1"/>
        <v>0.96366706454336371</v>
      </c>
      <c r="H12">
        <f>COUNTIF(נתוני_תשלומים!D:D,1)</f>
        <v>72</v>
      </c>
      <c r="I12" s="13">
        <v>0</v>
      </c>
    </row>
    <row r="13" spans="1:9" ht="15" customHeight="1">
      <c r="A13" s="10" t="s">
        <v>16</v>
      </c>
      <c r="B13" s="11">
        <f>SUMIF(נתוני_תשלומים!D:D,1,נתוני_תשלומים!C:C)</f>
        <v>34349</v>
      </c>
      <c r="C13">
        <f>SUMPRODUCT((נתוני_תשלומים!Q2:Q77=2)*(נתוני_תשלומים!D2:D77=1))</f>
        <v>65</v>
      </c>
      <c r="D13">
        <f>SUMPRODUCT((נתוני_תשלומים!Q2:Q77=1)*(נתוני_תשלומים!D2:D77=1))</f>
        <v>2</v>
      </c>
      <c r="E13">
        <f t="shared" si="0"/>
        <v>5</v>
      </c>
      <c r="F13" s="11">
        <f>SUMPRODUCT((נתוני_תשלומים!Q2:Q77=2)*(נתוני_תשלומים!D2:D77=1)*(נתוני_תשלומים!C2:C77))</f>
        <v>31228</v>
      </c>
      <c r="G13" s="12">
        <f t="shared" si="1"/>
        <v>0.90913854842935748</v>
      </c>
      <c r="H13">
        <f>COUNTIF(נתוני_תשלומים!D:D,1)</f>
        <v>72</v>
      </c>
      <c r="I13" s="13">
        <v>0</v>
      </c>
    </row>
    <row r="14" spans="1:9" ht="15" customHeight="1">
      <c r="A14" s="10" t="s">
        <v>17</v>
      </c>
      <c r="B14" s="11">
        <f>SUMIF(נתוני_תשלומים!D:D,1,נתוני_תשלומים!C:C)</f>
        <v>34349</v>
      </c>
      <c r="C14">
        <f>SUMPRODUCT((נתוני_תשלומים!R2:R77=2)*(נתוני_תשלומים!D2:D77=1))</f>
        <v>60</v>
      </c>
      <c r="D14">
        <f>SUMPRODUCT((נתוני_תשלומים!R2:R77=1)*(נתוני_תשלומים!D2:D77=1))</f>
        <v>1</v>
      </c>
      <c r="E14">
        <f t="shared" si="0"/>
        <v>11</v>
      </c>
      <c r="F14" s="11">
        <f>SUMPRODUCT((נתוני_תשלומים!R2:R77=2)*(נתוני_תשלומים!D2:D77=1)*(נתוני_תשלומים!C2:C77))</f>
        <v>28927</v>
      </c>
      <c r="G14" s="12">
        <f t="shared" si="1"/>
        <v>0.84214969868118428</v>
      </c>
      <c r="H14">
        <f>COUNTIF(נתוני_תשלומים!D:D,1)</f>
        <v>72</v>
      </c>
      <c r="I14" s="13">
        <v>0</v>
      </c>
    </row>
    <row r="15" spans="1:9" ht="15" customHeight="1">
      <c r="A15" s="10" t="s">
        <v>18</v>
      </c>
      <c r="B15" s="11">
        <f>SUMIF(נתוני_תשלומים!D:D,1,נתוני_תשלומים!C:C)</f>
        <v>34349</v>
      </c>
      <c r="C15">
        <f>SUMPRODUCT((נתוני_תשלומים!S2:S77=2)*(נתוני_תשלומים!D2:D77=1))</f>
        <v>59</v>
      </c>
      <c r="D15">
        <f>SUMPRODUCT((נתוני_תשלומים!S2:S77=1)*(נתוני_תשלומים!D2:D77=1))</f>
        <v>0</v>
      </c>
      <c r="E15">
        <f t="shared" si="0"/>
        <v>13</v>
      </c>
      <c r="F15" s="11">
        <f>SUMPRODUCT((נתוני_תשלומים!S2:S77=2)*(נתוני_תשלומים!D2:D77=1)*(נתוני_תשלומים!C2:C77))</f>
        <v>28580</v>
      </c>
      <c r="G15" s="12">
        <f t="shared" si="1"/>
        <v>0.83204751230021257</v>
      </c>
      <c r="H15">
        <f>COUNTIF(נתוני_תשלומים!D:D,1)</f>
        <v>72</v>
      </c>
      <c r="I15" s="13">
        <v>0</v>
      </c>
    </row>
    <row r="16" spans="1:9" ht="15" customHeight="1">
      <c r="A16" s="10" t="s">
        <v>19</v>
      </c>
      <c r="B16" s="11">
        <f>SUMIF(נתוני_תשלומים!D:D,1,נתוני_תשלומים!C:C)</f>
        <v>34349</v>
      </c>
      <c r="C16">
        <f>SUMPRODUCT((נתוני_תשלומים!T2:T77=2)*(נתוני_תשלומים!D2:D77=1))</f>
        <v>3</v>
      </c>
      <c r="D16">
        <f>SUMPRODUCT((נתוני_תשלומים!T2:T77=1)*(נתוני_תשלומים!D2:D77=1))</f>
        <v>22</v>
      </c>
      <c r="E16">
        <f t="shared" si="0"/>
        <v>47</v>
      </c>
      <c r="F16" s="11">
        <f>SUMPRODUCT((נתוני_תשלומים!T2:T77=2)*(נתוני_תשלומים!D2:D77=1)*(נתוני_תשלומים!C2:C77))</f>
        <v>1311</v>
      </c>
      <c r="G16" s="12">
        <f t="shared" si="1"/>
        <v>3.8167049986899182E-2</v>
      </c>
      <c r="H16">
        <f>COUNTIF(נתוני_תשלומים!D:D,1)</f>
        <v>72</v>
      </c>
      <c r="I16" s="13">
        <v>0</v>
      </c>
    </row>
    <row r="17" spans="1:9" ht="15" customHeight="1">
      <c r="A17" s="10" t="s">
        <v>20</v>
      </c>
      <c r="B17" s="11">
        <f>SUMIF(נתוני_תשלומים!D:D,1,נתוני_תשלומים!C:C)</f>
        <v>34349</v>
      </c>
      <c r="C17">
        <f>SUMPRODUCT((נתוני_תשלומים!U2:U77=2)*(נתוני_תשלומים!D2:D77=1))</f>
        <v>0</v>
      </c>
      <c r="D17">
        <f>SUMPRODUCT((נתוני_תשלומים!U2:U77=1)*(נתוני_תשלומים!D2:D77=1))</f>
        <v>22</v>
      </c>
      <c r="E17">
        <f t="shared" si="0"/>
        <v>50</v>
      </c>
      <c r="F17" s="11">
        <f>SUMPRODUCT((נתוני_תשלומים!U2:U77=2)*(נתוני_תשלומים!D2:D77=1)*(נתוני_תשלומים!C2:C77))</f>
        <v>0</v>
      </c>
      <c r="G17" s="12">
        <f t="shared" si="1"/>
        <v>0</v>
      </c>
      <c r="H17">
        <f>COUNTIF(נתוני_תשלומים!D:D,1)</f>
        <v>72</v>
      </c>
      <c r="I17" s="13">
        <v>0</v>
      </c>
    </row>
    <row r="18" spans="1:9" ht="15" customHeight="1">
      <c r="A18" s="10" t="s">
        <v>21</v>
      </c>
      <c r="B18" s="11">
        <f>SUMIF(נתוני_תשלומים!D:D,1,נתוני_תשלומים!C:C)</f>
        <v>34349</v>
      </c>
      <c r="C18">
        <f>SUMPRODUCT((נתוני_תשלומים!V2:V77=2)*(נתוני_תשלומים!D2:D77=1))</f>
        <v>0</v>
      </c>
      <c r="D18">
        <f>SUMPRODUCT((נתוני_תשלומים!V2:V77=1)*(נתוני_תשלומים!D2:D77=1))</f>
        <v>22</v>
      </c>
      <c r="E18">
        <f t="shared" si="0"/>
        <v>50</v>
      </c>
      <c r="F18" s="11">
        <f>SUMPRODUCT((נתוני_תשלומים!V2:V77=2)*(נתוני_תשלומים!D2:D77=1)*(נתוני_תשלומים!C2:C77))</f>
        <v>0</v>
      </c>
      <c r="G18" s="12">
        <f t="shared" si="1"/>
        <v>0</v>
      </c>
      <c r="H18">
        <f>COUNTIF(נתוני_תשלומים!D:D,1)</f>
        <v>72</v>
      </c>
      <c r="I18" s="13">
        <v>0</v>
      </c>
    </row>
    <row r="19" spans="1:9" ht="15" customHeight="1">
      <c r="A19" s="10" t="s">
        <v>22</v>
      </c>
      <c r="B19" s="11">
        <f>SUMIF(נתוני_תשלומים!D:D,1,נתוני_תשלומים!C:C)</f>
        <v>34349</v>
      </c>
      <c r="C19">
        <f>SUMPRODUCT((נתוני_תשלומים!W2:W77=2)*(נתוני_תשלומים!D2:D77=1))</f>
        <v>0</v>
      </c>
      <c r="D19">
        <f>SUMPRODUCT((נתוני_תשלומים!W2:W77=1)*(נתוני_תשלומים!D2:D77=1))</f>
        <v>22</v>
      </c>
      <c r="E19">
        <f t="shared" si="0"/>
        <v>50</v>
      </c>
      <c r="F19" s="11">
        <f>SUMPRODUCT((נתוני_תשלומים!W2:W77=2)*(נתוני_תשלומים!D2:D77=1)*(נתוני_תשלומים!C2:C77))</f>
        <v>0</v>
      </c>
      <c r="G19" s="12">
        <f t="shared" si="1"/>
        <v>0</v>
      </c>
      <c r="H19">
        <f>COUNTIF(נתוני_תשלומים!D:D,1)</f>
        <v>72</v>
      </c>
      <c r="I19" s="13">
        <v>0</v>
      </c>
    </row>
    <row r="20" spans="1:9" ht="15" customHeight="1">
      <c r="A20" s="10" t="s">
        <v>23</v>
      </c>
      <c r="B20" s="11">
        <f>SUMIF(נתוני_תשלומים!D:D,1,נתוני_תשלומים!C:C)</f>
        <v>34349</v>
      </c>
      <c r="C20">
        <f>SUMPRODUCT((נתוני_תשלומים!X2:X77=2)*(נתוני_תשלומים!D2:D77=1))</f>
        <v>0</v>
      </c>
      <c r="D20">
        <f>SUMPRODUCT((נתוני_תשלומים!X2:X77=1)*(נתוני_תשלומים!D2:D77=1))</f>
        <v>21</v>
      </c>
      <c r="E20">
        <f t="shared" si="0"/>
        <v>51</v>
      </c>
      <c r="F20" s="11">
        <f>SUMPRODUCT((נתוני_תשלומים!X2:X77=2)*(נתוני_תשלומים!D2:D77=1)*(נתוני_תשלומים!C2:C77))</f>
        <v>0</v>
      </c>
      <c r="G20" s="12">
        <f t="shared" si="1"/>
        <v>0</v>
      </c>
      <c r="H20">
        <f>COUNTIF(נתוני_תשלומים!D:D,1)</f>
        <v>72</v>
      </c>
      <c r="I20" s="13">
        <v>0</v>
      </c>
    </row>
    <row r="21" spans="1:9" ht="15" customHeight="1">
      <c r="A21" s="10" t="s">
        <v>24</v>
      </c>
      <c r="B21" s="11">
        <f>SUMIF(נתוני_תשלומים!D:D,1,נתוני_תשלומים!C:C)</f>
        <v>34349</v>
      </c>
      <c r="C21">
        <f>SUMPRODUCT((נתוני_תשלומים!Y2:Y77=2)*(נתוני_תשלומים!D2:D77=1))</f>
        <v>0</v>
      </c>
      <c r="D21">
        <f>SUMPRODUCT((נתוני_תשלומים!Y2:Y77=1)*(נתוני_תשלומים!D2:D77=1))</f>
        <v>21</v>
      </c>
      <c r="E21">
        <f t="shared" si="0"/>
        <v>51</v>
      </c>
      <c r="F21" s="11">
        <f>SUMPRODUCT((נתוני_תשלומים!Y2:Y77=2)*(נתוני_תשלומים!D2:D77=1)*(נתוני_תשלומים!C2:C77))</f>
        <v>0</v>
      </c>
      <c r="G21" s="12">
        <f t="shared" si="1"/>
        <v>0</v>
      </c>
      <c r="H21">
        <f>COUNTIF(נתוני_תשלומים!D:D,1)</f>
        <v>72</v>
      </c>
      <c r="I21" s="13">
        <v>0</v>
      </c>
    </row>
    <row r="22" spans="1:9" ht="15" customHeight="1">
      <c r="A22" s="10" t="s">
        <v>25</v>
      </c>
      <c r="B22" s="11">
        <f>SUMIF(נתוני_תשלומים!D:D,1,נתוני_תשלומים!C:C)</f>
        <v>34349</v>
      </c>
      <c r="C22">
        <f>SUMPRODUCT((נתוני_תשלומים!Z2:Z77=2)*(נתוני_תשלומים!D2:D77=1))</f>
        <v>0</v>
      </c>
      <c r="D22">
        <f>SUMPRODUCT((נתוני_תשלומים!Z2:Z77=1)*(נתוני_תשלומים!D2:D77=1))</f>
        <v>21</v>
      </c>
      <c r="E22">
        <f t="shared" si="0"/>
        <v>51</v>
      </c>
      <c r="F22" s="11">
        <f>SUMPRODUCT((נתוני_תשלומים!Z2:Z77=2)*(נתוני_תשלומים!D2:D77=1)*(נתוני_תשלומים!C2:C77))</f>
        <v>0</v>
      </c>
      <c r="G22" s="12">
        <f t="shared" si="1"/>
        <v>0</v>
      </c>
      <c r="H22">
        <f>COUNTIF(נתוני_תשלומים!D:D,1)</f>
        <v>72</v>
      </c>
      <c r="I22" s="13">
        <v>0</v>
      </c>
    </row>
    <row r="23" spans="1:9" ht="15" customHeight="1">
      <c r="A23" s="10" t="s">
        <v>26</v>
      </c>
      <c r="B23" s="11">
        <f>SUMIF(נתוני_תשלומים!D:D,1,נתוני_תשלומים!C:C)</f>
        <v>34349</v>
      </c>
      <c r="C23">
        <f>SUMPRODUCT((נתוני_תשלומים!AA2:AA77=2)*(נתוני_תשלומים!D2:D77=1))</f>
        <v>0</v>
      </c>
      <c r="D23">
        <f>SUMPRODUCT((נתוני_תשלומים!AA2:AA77=1)*(נתוני_תשלומים!D2:D77=1))</f>
        <v>20</v>
      </c>
      <c r="E23">
        <f t="shared" si="0"/>
        <v>52</v>
      </c>
      <c r="F23" s="11">
        <f>SUMPRODUCT((נתוני_תשלומים!AA2:AA77=2)*(נתוני_תשלומים!D2:D77=1)*(נתוני_תשלומים!C2:C77))</f>
        <v>0</v>
      </c>
      <c r="G23" s="12">
        <f t="shared" si="1"/>
        <v>0</v>
      </c>
      <c r="H23">
        <f>COUNTIF(נתוני_תשלומים!D:D,1)</f>
        <v>72</v>
      </c>
      <c r="I23" s="13">
        <v>0</v>
      </c>
    </row>
    <row r="24" spans="1:9" ht="15" customHeight="1">
      <c r="A24" s="10" t="s">
        <v>27</v>
      </c>
      <c r="B24" s="11">
        <f>SUMIF(נתוני_תשלומים!D:D,1,נתוני_תשלומים!C:C)</f>
        <v>34349</v>
      </c>
      <c r="C24">
        <f>SUMPRODUCT((נתוני_תשלומים!AB2:AB77=2)*(נתוני_תשלומים!D2:D77=1))</f>
        <v>0</v>
      </c>
      <c r="D24">
        <f>SUMPRODUCT((נתוני_תשלומים!AB2:AB77=1)*(נתוני_תשלומים!D2:D77=1))</f>
        <v>21</v>
      </c>
      <c r="E24">
        <f t="shared" si="0"/>
        <v>51</v>
      </c>
      <c r="F24" s="11">
        <f>SUMPRODUCT((נתוני_תשלומים!AB2:AB77=2)*(נתוני_תשלומים!D2:D77=1)*(נתוני_תשלומים!C2:C77))</f>
        <v>0</v>
      </c>
      <c r="G24" s="12">
        <f t="shared" si="1"/>
        <v>0</v>
      </c>
      <c r="H24">
        <f>COUNTIF(נתוני_תשלומים!D:D,1)</f>
        <v>72</v>
      </c>
      <c r="I24" s="13">
        <v>0</v>
      </c>
    </row>
    <row r="25" spans="1:9" ht="15" customHeight="1">
      <c r="A25" s="10" t="s">
        <v>28</v>
      </c>
      <c r="B25" s="11">
        <f>SUMIF(נתוני_תשלומים!D:D,1,נתוני_תשלומים!C:C)</f>
        <v>34349</v>
      </c>
      <c r="C25">
        <f>SUMPRODUCT((נתוני_תשלומים!AC2:AC77=2)*(נתוני_תשלומים!D2:D77=1))</f>
        <v>0</v>
      </c>
      <c r="D25">
        <f>SUMPRODUCT((נתוני_תשלומים!AC2:AC77=1)*(נתוני_תשלומים!D2:D77=1))</f>
        <v>21</v>
      </c>
      <c r="E25">
        <f t="shared" si="0"/>
        <v>51</v>
      </c>
      <c r="F25" s="11">
        <f>SUMPRODUCT((נתוני_תשלומים!AC2:AC77=2)*(נתוני_תשלומים!D2:D77=1)*(נתוני_תשלומים!C2:C77))</f>
        <v>0</v>
      </c>
      <c r="G25" s="12">
        <f t="shared" si="1"/>
        <v>0</v>
      </c>
      <c r="H25">
        <f>COUNTIF(נתוני_תשלומים!D:D,1)</f>
        <v>72</v>
      </c>
      <c r="I25" s="13">
        <v>0</v>
      </c>
    </row>
    <row r="26" spans="1:9" ht="15" customHeight="1">
      <c r="A26" s="14" t="s">
        <v>44</v>
      </c>
      <c r="B26" s="11">
        <f>SUM(נתוני_תשלומים!E:E)</f>
        <v>9213</v>
      </c>
    </row>
    <row r="28" spans="1:9" ht="15" customHeight="1">
      <c r="A28" s="15" t="s">
        <v>45</v>
      </c>
    </row>
    <row r="29" spans="1:9" ht="15" customHeight="1">
      <c r="A29" s="16" t="s">
        <v>35</v>
      </c>
      <c r="B29" s="16" t="s">
        <v>43</v>
      </c>
    </row>
    <row r="30" spans="1:9" ht="15" customHeight="1">
      <c r="A30" s="10" t="s">
        <v>5</v>
      </c>
      <c r="B30" s="11">
        <f>הוצאות!B10</f>
        <v>36924</v>
      </c>
    </row>
    <row r="31" spans="1:9" ht="15" customHeight="1">
      <c r="A31" s="10" t="s">
        <v>6</v>
      </c>
      <c r="B31" s="11">
        <f>הוצאות!C10</f>
        <v>25491</v>
      </c>
    </row>
    <row r="32" spans="1:9" ht="15" customHeight="1">
      <c r="A32" s="10" t="s">
        <v>7</v>
      </c>
      <c r="B32" s="11">
        <f>הוצאות!D10</f>
        <v>26611</v>
      </c>
    </row>
    <row r="33" spans="1:2" ht="15" customHeight="1">
      <c r="A33" s="10" t="s">
        <v>8</v>
      </c>
      <c r="B33" s="11">
        <f>הוצאות!E10</f>
        <v>25278</v>
      </c>
    </row>
    <row r="34" spans="1:2" ht="15" customHeight="1">
      <c r="A34" s="10" t="s">
        <v>9</v>
      </c>
      <c r="B34" s="11">
        <f>הוצאות!F10</f>
        <v>23113</v>
      </c>
    </row>
    <row r="35" spans="1:2" ht="15" customHeight="1">
      <c r="A35" s="10" t="s">
        <v>10</v>
      </c>
      <c r="B35" s="11">
        <f>הוצאות!G10</f>
        <v>26598</v>
      </c>
    </row>
    <row r="36" spans="1:2" ht="15" customHeight="1">
      <c r="A36" s="10" t="s">
        <v>11</v>
      </c>
      <c r="B36" s="11">
        <f>הוצאות!H10</f>
        <v>68424</v>
      </c>
    </row>
    <row r="37" spans="1:2" ht="15" customHeight="1">
      <c r="A37" s="10" t="s">
        <v>12</v>
      </c>
      <c r="B37" s="11">
        <f>הוצאות!I10</f>
        <v>26657</v>
      </c>
    </row>
    <row r="38" spans="1:2" ht="15" customHeight="1">
      <c r="A38" s="10" t="s">
        <v>13</v>
      </c>
      <c r="B38" s="11">
        <f>הוצאות!J10</f>
        <v>37574</v>
      </c>
    </row>
    <row r="39" spans="1:2" ht="15" customHeight="1">
      <c r="A39" s="10" t="s">
        <v>14</v>
      </c>
      <c r="B39" s="11">
        <f>הוצאות!K10</f>
        <v>21122</v>
      </c>
    </row>
    <row r="40" spans="1:2" ht="15" customHeight="1">
      <c r="A40" s="10" t="s">
        <v>15</v>
      </c>
      <c r="B40" s="11">
        <f>הוצאות!L10</f>
        <v>40081</v>
      </c>
    </row>
    <row r="41" spans="1:2" ht="15" customHeight="1">
      <c r="A41" s="10" t="s">
        <v>16</v>
      </c>
      <c r="B41" s="11">
        <f>הוצאות!M10</f>
        <v>31861</v>
      </c>
    </row>
    <row r="42" spans="1:2" ht="15" customHeight="1">
      <c r="A42" s="10" t="s">
        <v>17</v>
      </c>
      <c r="B42" s="11">
        <f>הוצאות!N10</f>
        <v>31148</v>
      </c>
    </row>
    <row r="43" spans="1:2" ht="15" customHeight="1">
      <c r="A43" s="10" t="s">
        <v>18</v>
      </c>
      <c r="B43" s="11">
        <f>הוצאות!O10</f>
        <v>26247</v>
      </c>
    </row>
    <row r="44" spans="1:2" ht="15" customHeight="1">
      <c r="A44" s="10" t="s">
        <v>19</v>
      </c>
      <c r="B44" s="11">
        <f>הוצאות!P10</f>
        <v>0</v>
      </c>
    </row>
    <row r="45" spans="1:2" ht="15" customHeight="1">
      <c r="A45" s="10" t="s">
        <v>20</v>
      </c>
      <c r="B45" s="11">
        <f>הוצאות!Q10</f>
        <v>0</v>
      </c>
    </row>
    <row r="46" spans="1:2" ht="15" customHeight="1">
      <c r="A46" s="10" t="s">
        <v>21</v>
      </c>
      <c r="B46" s="11">
        <f>הוצאות!R10</f>
        <v>0</v>
      </c>
    </row>
    <row r="47" spans="1:2" ht="15" customHeight="1">
      <c r="A47" s="10" t="s">
        <v>22</v>
      </c>
      <c r="B47" s="11">
        <f>הוצאות!S10</f>
        <v>0</v>
      </c>
    </row>
    <row r="48" spans="1:2" ht="15" customHeight="1">
      <c r="A48" s="10" t="s">
        <v>23</v>
      </c>
      <c r="B48" s="11">
        <f>הוצאות!T10</f>
        <v>0</v>
      </c>
    </row>
    <row r="49" spans="1:2" ht="15" customHeight="1">
      <c r="A49" s="10" t="s">
        <v>24</v>
      </c>
      <c r="B49" s="11">
        <f>הוצאות!U10</f>
        <v>0</v>
      </c>
    </row>
    <row r="50" spans="1:2" ht="15" customHeight="1">
      <c r="A50" s="10" t="s">
        <v>25</v>
      </c>
      <c r="B50" s="11">
        <f>הוצאות!V10</f>
        <v>0</v>
      </c>
    </row>
    <row r="51" spans="1:2" ht="15" customHeight="1">
      <c r="A51" s="10" t="s">
        <v>26</v>
      </c>
      <c r="B51" s="11">
        <f>הוצאות!W10</f>
        <v>0</v>
      </c>
    </row>
    <row r="52" spans="1:2" ht="15" customHeight="1">
      <c r="A52" s="10" t="s">
        <v>27</v>
      </c>
      <c r="B52" s="11">
        <f>הוצאות!X10</f>
        <v>0</v>
      </c>
    </row>
    <row r="53" spans="1:2" ht="15" customHeight="1">
      <c r="A53" s="10" t="s">
        <v>28</v>
      </c>
      <c r="B53" s="11">
        <f>הוצאות!Y10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rightToLeft="1" zoomScaleNormal="100" workbookViewId="0">
      <selection activeCell="A37" sqref="A37"/>
    </sheetView>
  </sheetViews>
  <sheetFormatPr defaultColWidth="8.7109375" defaultRowHeight="15"/>
  <cols>
    <col min="1" max="1" width="80" style="17" customWidth="1"/>
    <col min="2" max="16384" width="8.7109375" style="17"/>
  </cols>
  <sheetData>
    <row r="1" spans="1:1" ht="16.5" customHeight="1">
      <c r="A1" s="18" t="s">
        <v>46</v>
      </c>
    </row>
    <row r="2" spans="1:1" ht="15" customHeight="1">
      <c r="A2" s="19"/>
    </row>
    <row r="3" spans="1:1" ht="13.5" customHeight="1">
      <c r="A3" s="19" t="s">
        <v>47</v>
      </c>
    </row>
    <row r="4" spans="1:1" ht="13.5" customHeight="1">
      <c r="A4" s="19" t="s">
        <v>48</v>
      </c>
    </row>
    <row r="5" spans="1:1" ht="13.5" customHeight="1">
      <c r="A5" s="19" t="s">
        <v>49</v>
      </c>
    </row>
    <row r="6" spans="1:1" ht="13.5" customHeight="1">
      <c r="A6" s="19" t="s">
        <v>50</v>
      </c>
    </row>
    <row r="7" spans="1:1" ht="15" customHeight="1">
      <c r="A7" s="19"/>
    </row>
    <row r="8" spans="1:1" ht="13.5" customHeight="1">
      <c r="A8" s="19" t="s">
        <v>51</v>
      </c>
    </row>
    <row r="9" spans="1:1" ht="13.5" customHeight="1">
      <c r="A9" s="19" t="s">
        <v>52</v>
      </c>
    </row>
    <row r="10" spans="1:1" ht="13.5" customHeight="1">
      <c r="A10" s="19" t="s">
        <v>53</v>
      </c>
    </row>
    <row r="11" spans="1:1" ht="15" customHeight="1">
      <c r="A11" s="19"/>
    </row>
    <row r="12" spans="1:1" ht="13.5" customHeight="1">
      <c r="A12" s="19" t="s">
        <v>54</v>
      </c>
    </row>
    <row r="13" spans="1:1" ht="13.5" customHeight="1">
      <c r="A13" s="19" t="s">
        <v>55</v>
      </c>
    </row>
    <row r="14" spans="1:1" ht="13.5" customHeight="1">
      <c r="A14" s="19" t="s">
        <v>56</v>
      </c>
    </row>
    <row r="15" spans="1:1" ht="13.5" customHeight="1">
      <c r="A15" s="19" t="s">
        <v>57</v>
      </c>
    </row>
    <row r="16" spans="1:1" ht="15" customHeight="1">
      <c r="A16" s="19"/>
    </row>
    <row r="17" spans="1:1" ht="13.5" customHeight="1">
      <c r="A17" s="19" t="s">
        <v>58</v>
      </c>
    </row>
    <row r="18" spans="1:1" ht="13.5" customHeight="1">
      <c r="A18" s="19" t="s">
        <v>59</v>
      </c>
    </row>
    <row r="19" spans="1:1" ht="13.5" customHeight="1">
      <c r="A19" s="19" t="s">
        <v>60</v>
      </c>
    </row>
    <row r="20" spans="1:1" ht="15" customHeight="1">
      <c r="A20" s="19"/>
    </row>
    <row r="21" spans="1:1" ht="13.5" customHeight="1">
      <c r="A21" s="19" t="s">
        <v>61</v>
      </c>
    </row>
    <row r="22" spans="1:1" ht="13.5" customHeight="1">
      <c r="A22" s="19" t="s">
        <v>62</v>
      </c>
    </row>
    <row r="23" spans="1:1" ht="15" customHeight="1">
      <c r="A23" s="19"/>
    </row>
    <row r="24" spans="1:1" ht="13.5" customHeight="1">
      <c r="A24" s="19" t="s">
        <v>63</v>
      </c>
    </row>
    <row r="25" spans="1:1" ht="13.5" customHeight="1">
      <c r="A25" s="19" t="s">
        <v>64</v>
      </c>
    </row>
    <row r="26" spans="1:1" ht="13.5" customHeight="1">
      <c r="A26" s="19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"/>
  <sheetViews>
    <sheetView rightToLeft="1" zoomScaleNormal="100" workbookViewId="0">
      <selection activeCell="B10" sqref="B10:O10"/>
    </sheetView>
  </sheetViews>
  <sheetFormatPr defaultColWidth="8.7109375" defaultRowHeight="15"/>
  <cols>
    <col min="1" max="1" width="25" customWidth="1"/>
    <col min="2" max="25" width="13" customWidth="1"/>
  </cols>
  <sheetData>
    <row r="1" spans="1:25" ht="15" customHeight="1">
      <c r="A1" s="20" t="s">
        <v>66</v>
      </c>
      <c r="B1" s="20" t="s">
        <v>5</v>
      </c>
      <c r="C1" s="20" t="s">
        <v>6</v>
      </c>
      <c r="D1" s="20" t="s">
        <v>7</v>
      </c>
      <c r="E1" s="20" t="s">
        <v>8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13</v>
      </c>
      <c r="K1" s="20" t="s">
        <v>14</v>
      </c>
      <c r="L1" s="20" t="s">
        <v>15</v>
      </c>
      <c r="M1" s="20" t="s">
        <v>16</v>
      </c>
      <c r="N1" s="20" t="s">
        <v>17</v>
      </c>
      <c r="O1" s="20" t="s">
        <v>18</v>
      </c>
      <c r="P1" s="20" t="s">
        <v>19</v>
      </c>
      <c r="Q1" s="20" t="s">
        <v>20</v>
      </c>
      <c r="R1" s="20" t="s">
        <v>21</v>
      </c>
      <c r="S1" s="20" t="s">
        <v>22</v>
      </c>
      <c r="T1" s="20" t="s">
        <v>23</v>
      </c>
      <c r="U1" s="20" t="s">
        <v>24</v>
      </c>
      <c r="V1" s="20" t="s">
        <v>25</v>
      </c>
      <c r="W1" s="20" t="s">
        <v>26</v>
      </c>
      <c r="X1" s="20" t="s">
        <v>27</v>
      </c>
      <c r="Y1" s="20" t="s">
        <v>28</v>
      </c>
    </row>
    <row r="2" spans="1:25" ht="15" customHeight="1">
      <c r="A2" s="21" t="s">
        <v>67</v>
      </c>
      <c r="B2" s="22">
        <v>14350</v>
      </c>
      <c r="C2" s="22">
        <v>14350</v>
      </c>
      <c r="D2" s="22">
        <v>14350</v>
      </c>
      <c r="E2" s="22">
        <v>14350</v>
      </c>
      <c r="F2" s="22">
        <v>14350</v>
      </c>
      <c r="G2" s="22">
        <v>14350</v>
      </c>
      <c r="H2" s="22">
        <v>14545</v>
      </c>
      <c r="I2" s="22">
        <v>14295</v>
      </c>
      <c r="J2" s="22">
        <v>15298</v>
      </c>
      <c r="K2" s="22">
        <v>14000</v>
      </c>
      <c r="L2" s="22">
        <v>14000</v>
      </c>
      <c r="M2" s="22">
        <v>14472</v>
      </c>
      <c r="N2" s="22">
        <v>15092</v>
      </c>
      <c r="O2" s="22">
        <v>15357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</row>
    <row r="3" spans="1:25" ht="15" customHeight="1">
      <c r="A3" s="21" t="s">
        <v>68</v>
      </c>
      <c r="B3" s="22">
        <v>5193</v>
      </c>
      <c r="C3" s="22">
        <v>3701</v>
      </c>
      <c r="D3" s="22">
        <v>3701</v>
      </c>
      <c r="E3" s="22">
        <v>3701</v>
      </c>
      <c r="F3" s="22">
        <v>3701</v>
      </c>
      <c r="G3" s="22">
        <v>3701</v>
      </c>
      <c r="H3" s="22">
        <v>3701</v>
      </c>
      <c r="I3" s="22">
        <v>3701</v>
      </c>
      <c r="J3" s="22">
        <v>3701</v>
      </c>
      <c r="K3" s="22">
        <v>3701</v>
      </c>
      <c r="L3" s="22">
        <v>3701</v>
      </c>
      <c r="M3" s="22">
        <v>3701</v>
      </c>
      <c r="N3" s="22">
        <v>9691</v>
      </c>
      <c r="O3" s="22">
        <v>3701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</row>
    <row r="4" spans="1:25" ht="15" customHeight="1">
      <c r="A4" s="21" t="s">
        <v>69</v>
      </c>
      <c r="B4" s="22">
        <v>56</v>
      </c>
      <c r="C4" s="22">
        <v>57</v>
      </c>
      <c r="D4" s="22">
        <v>53</v>
      </c>
      <c r="E4" s="22">
        <v>55</v>
      </c>
      <c r="F4" s="22">
        <v>61</v>
      </c>
      <c r="G4" s="22">
        <v>60</v>
      </c>
      <c r="H4" s="22">
        <v>56</v>
      </c>
      <c r="I4" s="22">
        <v>56</v>
      </c>
      <c r="J4" s="22">
        <v>55</v>
      </c>
      <c r="K4" s="22">
        <v>59</v>
      </c>
      <c r="L4" s="22">
        <v>61</v>
      </c>
      <c r="M4" s="22">
        <v>62</v>
      </c>
      <c r="N4" s="22">
        <v>62</v>
      </c>
      <c r="O4" s="22">
        <v>62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</row>
    <row r="5" spans="1:25" ht="15" customHeight="1">
      <c r="A5" s="21" t="s">
        <v>70</v>
      </c>
      <c r="B5" s="22">
        <v>5733</v>
      </c>
      <c r="C5" s="22">
        <v>4257</v>
      </c>
      <c r="D5" s="22">
        <v>6114</v>
      </c>
      <c r="E5" s="22">
        <v>6185</v>
      </c>
      <c r="F5" s="22">
        <v>3516</v>
      </c>
      <c r="G5" s="22">
        <v>7745</v>
      </c>
      <c r="H5" s="22">
        <v>9168</v>
      </c>
      <c r="I5" s="22">
        <v>8453</v>
      </c>
      <c r="J5" s="22">
        <v>12356</v>
      </c>
      <c r="K5" s="22">
        <v>2880</v>
      </c>
      <c r="L5" s="22">
        <v>17068</v>
      </c>
      <c r="M5" s="22">
        <v>7034</v>
      </c>
      <c r="N5" s="22">
        <v>3811</v>
      </c>
      <c r="O5" s="22">
        <v>6975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</row>
    <row r="6" spans="1:25" ht="15" customHeight="1">
      <c r="A6" s="21" t="s">
        <v>71</v>
      </c>
      <c r="B6" s="22">
        <v>129</v>
      </c>
      <c r="C6" s="22">
        <v>154</v>
      </c>
      <c r="D6" s="22">
        <v>150</v>
      </c>
      <c r="E6" s="22">
        <v>152</v>
      </c>
      <c r="F6" s="22">
        <v>152</v>
      </c>
      <c r="G6" s="22">
        <v>152</v>
      </c>
      <c r="H6" s="22">
        <v>152</v>
      </c>
      <c r="I6" s="22">
        <v>152</v>
      </c>
      <c r="J6" s="22">
        <v>152</v>
      </c>
      <c r="K6" s="22">
        <v>152</v>
      </c>
      <c r="L6" s="22">
        <v>152</v>
      </c>
      <c r="M6" s="22">
        <v>152</v>
      </c>
      <c r="N6" s="22">
        <v>152</v>
      </c>
      <c r="O6" s="22">
        <v>152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</row>
    <row r="7" spans="1:25" ht="15" customHeight="1">
      <c r="A7" s="21" t="s">
        <v>72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15466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</row>
    <row r="8" spans="1:25" ht="15" customHeight="1">
      <c r="A8" s="21" t="s">
        <v>73</v>
      </c>
      <c r="B8" s="22">
        <v>11463</v>
      </c>
      <c r="C8" s="22">
        <v>2972</v>
      </c>
      <c r="D8" s="22">
        <v>2243</v>
      </c>
      <c r="E8" s="22">
        <v>0</v>
      </c>
      <c r="F8" s="22">
        <v>1333</v>
      </c>
      <c r="G8" s="22">
        <v>590</v>
      </c>
      <c r="H8" s="22">
        <v>5336</v>
      </c>
      <c r="I8" s="22">
        <v>0</v>
      </c>
      <c r="J8" s="22">
        <v>4012</v>
      </c>
      <c r="K8" s="22">
        <v>330</v>
      </c>
      <c r="L8" s="22">
        <v>3500</v>
      </c>
      <c r="M8" s="22">
        <v>6440</v>
      </c>
      <c r="N8" s="22">
        <v>2340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</row>
    <row r="9" spans="1:25" ht="15" customHeight="1">
      <c r="A9" s="21" t="s">
        <v>74</v>
      </c>
      <c r="B9" s="22">
        <v>0</v>
      </c>
      <c r="C9" s="22">
        <v>0</v>
      </c>
      <c r="D9" s="22">
        <v>0</v>
      </c>
      <c r="E9" s="22">
        <v>835</v>
      </c>
      <c r="F9" s="22">
        <v>0</v>
      </c>
      <c r="G9" s="22">
        <v>0</v>
      </c>
      <c r="H9" s="22">
        <v>20000</v>
      </c>
      <c r="I9" s="22">
        <v>0</v>
      </c>
      <c r="J9" s="22">
        <v>2000</v>
      </c>
      <c r="K9" s="22">
        <v>0</v>
      </c>
      <c r="L9" s="22">
        <v>1599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</row>
    <row r="10" spans="1:25" ht="15" customHeight="1">
      <c r="A10" s="23" t="s">
        <v>75</v>
      </c>
      <c r="B10" s="24">
        <f t="shared" ref="B10:Y10" si="0">SUM(B2:B9)</f>
        <v>36924</v>
      </c>
      <c r="C10" s="24">
        <f t="shared" si="0"/>
        <v>25491</v>
      </c>
      <c r="D10" s="24">
        <f t="shared" si="0"/>
        <v>26611</v>
      </c>
      <c r="E10" s="24">
        <f t="shared" si="0"/>
        <v>25278</v>
      </c>
      <c r="F10" s="24">
        <f t="shared" si="0"/>
        <v>23113</v>
      </c>
      <c r="G10" s="24">
        <f t="shared" si="0"/>
        <v>26598</v>
      </c>
      <c r="H10" s="24">
        <f t="shared" si="0"/>
        <v>68424</v>
      </c>
      <c r="I10" s="24">
        <f t="shared" si="0"/>
        <v>26657</v>
      </c>
      <c r="J10" s="24">
        <f t="shared" si="0"/>
        <v>37574</v>
      </c>
      <c r="K10" s="24">
        <f t="shared" si="0"/>
        <v>21122</v>
      </c>
      <c r="L10" s="24">
        <f t="shared" si="0"/>
        <v>40081</v>
      </c>
      <c r="M10" s="24">
        <f t="shared" si="0"/>
        <v>31861</v>
      </c>
      <c r="N10" s="24">
        <f t="shared" si="0"/>
        <v>31148</v>
      </c>
      <c r="O10" s="24">
        <f t="shared" si="0"/>
        <v>26247</v>
      </c>
      <c r="P10" s="24">
        <f t="shared" si="0"/>
        <v>0</v>
      </c>
      <c r="Q10" s="24">
        <f t="shared" si="0"/>
        <v>0</v>
      </c>
      <c r="R10" s="24">
        <f t="shared" si="0"/>
        <v>0</v>
      </c>
      <c r="S10" s="24">
        <f t="shared" si="0"/>
        <v>0</v>
      </c>
      <c r="T10" s="24">
        <f t="shared" si="0"/>
        <v>0</v>
      </c>
      <c r="U10" s="24">
        <f t="shared" si="0"/>
        <v>0</v>
      </c>
      <c r="V10" s="24">
        <f t="shared" si="0"/>
        <v>0</v>
      </c>
      <c r="W10" s="24">
        <f t="shared" si="0"/>
        <v>0</v>
      </c>
      <c r="X10" s="24">
        <f t="shared" si="0"/>
        <v>0</v>
      </c>
      <c r="Y10" s="24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נתוני_תשלומים</vt:lpstr>
      <vt:lpstr>הגדרות</vt:lpstr>
      <vt:lpstr>חישובים</vt:lpstr>
      <vt:lpstr>הוראות_שימוש</vt:lpstr>
      <vt:lpstr>הוצאות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אלון יששכרוב</cp:lastModifiedBy>
  <cp:revision>0</cp:revision>
  <dcterms:created xsi:type="dcterms:W3CDTF">2026-02-15T05:07:44Z</dcterms:created>
  <dcterms:modified xsi:type="dcterms:W3CDTF">2026-03-04T20:39:27Z</dcterms:modified>
  <dc:language>en-US</dc:language>
</cp:coreProperties>
</file>